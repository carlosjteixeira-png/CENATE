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IA-ME" sheetId="1" state="visible" r:id="rId3"/>
    <sheet name="01_KPI_FONTES_EXTERNAS" sheetId="2" state="visible" r:id="rId4"/>
    <sheet name="02_DENOMINADORES" sheetId="3" state="visible" r:id="rId5"/>
    <sheet name="03_COTEJO_CENSO_ABERTO" sheetId="4" state="visible" r:id="rId6"/>
    <sheet name="04_FONTES_PENDENCIAS" sheetId="5" state="visible" r:id="rId7"/>
    <sheet name="05_COTEJO_UF2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<sst xmlns="http://schemas.openxmlformats.org/spreadsheetml/2006/main" count="421" uniqueCount="294">
  <si>
    <t xml:space="preserve">CENATE — Recálculo de KPIs por fontes abertas — v4 (base de respostas v10)</t>
  </si>
  <si>
    <t xml:space="preserve">Complemento externo ao Censo Nacional das Administrações Tributárias Estaduais · Ano-base 2025 · Elaborado em Ago/2026</t>
  </si>
  <si>
    <t xml:space="preserve">OBJETIVO</t>
  </si>
  <si>
    <t xml:space="preserve">Calcular, a partir de fontes públicas oficiais, os KPIs do caderno CENATE cuja variável-fonte é publicada por unidade federativa, cobrindo as 27 UFs — inclusive as 17 que não responderam ao censo — para posterior inserção no TFM (UNED/IEF).</t>
  </si>
  <si>
    <t xml:space="preserve">ANO-BASE</t>
  </si>
  <si>
    <t xml:space="preserve">Exercício 2025 (FINBRA/SICONFI). Série ICMS do CONFAZ vai até 2023; PIB estadual (IBGE) até 2023; população IBGE 2025.</t>
  </si>
  <si>
    <t xml:space="preserve">ESCOPO METODOLÓGICO</t>
  </si>
  <si>
    <t xml:space="preserve">Segue a aba 22_FONTES_ABERTAS da Planilha de Staging v20 e o Anexo Metodológico dos 30 KPIs. Só se calcula por fonte aberta o que a variável-fonte permite (situação "Calculável" ou "Parcial").</t>
  </si>
  <si>
    <t xml:space="preserve">KPI</t>
  </si>
  <si>
    <t xml:space="preserve">SITUAÇÃO NESTE RECÁLCULO</t>
  </si>
  <si>
    <t xml:space="preserve">K12 — Participação do ICMS na arrecadação</t>
  </si>
  <si>
    <t xml:space="preserve">CALCULADO p/ 27 UFs (robusto). Fonte: FINBRA/SICONFI 2025. Erro médio vs. censo = 2,7 p.p. (cotejo em 03_COTEJO).</t>
  </si>
  <si>
    <t xml:space="preserve">K10 — Custo da AT sobre arrecadação</t>
  </si>
  <si>
    <t xml:space="preserve">PARCIAL/ FRÁGIL. Só 13 UFs reportam a subfunção 04.129; valores subestimados por sub-alocação contábil. NÃO recomendado como KPI validado — ver ressalva.</t>
  </si>
  <si>
    <t xml:space="preserve">K11 — Crescimento nominal da arrecadação</t>
  </si>
  <si>
    <t xml:space="preserve">PROXY. Fornecido o crescimento nominal do ICMS 2022→2023 (CONFAZ). O K11 do ano-base 2025 exige série 2024–2025 (pendente).</t>
  </si>
  <si>
    <t xml:space="preserve">K13 — Despesa de TIC sobre despesa da AT</t>
  </si>
  <si>
    <t xml:space="preserve">NÃO CALCULÁVEL por fonte aberta. A subfunção 04.126 é TIC de todo o Estado (perímetro ≠ TIC da AT); razão resulta implausível (&gt;100%). Exige contabilidade interna da AT.</t>
  </si>
  <si>
    <t xml:space="preserve">K18 / K19 — Dívida ativa (recuperação e crescimento)</t>
  </si>
  <si>
    <t xml:space="preserve">PARCIAL. Estoque final 2025 (Balanço Patrimonial DCA) e arrecadação de dívida ativa do ICMS 2023 (CONFAZ) fornecidos. Falta o estoque inicial (Balanço 2024) para fechar as razões.</t>
  </si>
  <si>
    <t xml:space="preserve">K02, K03, K20, K25, K26, K29</t>
  </si>
  <si>
    <t xml:space="preserve">PENDENTES de fontes não anexadas (RFB-CNPJ; portais de transparência; relatórios de tribunais administrativos). Ver 04_FONTES_PENDENCIAS.</t>
  </si>
  <si>
    <t xml:space="preserve">DENOMINADORES DE NORMALIZAÇÃO</t>
  </si>
  <si>
    <t xml:space="preserve">Calculados p/ 27 UFs: arrecadação e ICMS per capita (pop. IBGE 2025) e carga de ICMS sobre o PIB (PIB IBGE 2023 — ressalva de defasagem de ano).</t>
  </si>
  <si>
    <t xml:space="preserve">ARREDONDAMENTO</t>
  </si>
  <si>
    <t xml:space="preserve">Percentuais com 1–2 casas; valores em R$ milhões. Divisões protegidas contra denominador zero (regra do Anexo Metodológico).</t>
  </si>
  <si>
    <t xml:space="preserve">AVISO</t>
  </si>
  <si>
    <t xml:space="preserve">As UFs não respondentes têm KPIs estimados por proxy público; não substituem o dado primário do censo. Divergências de perímetro estão documentadas em cada aba.</t>
  </si>
  <si>
    <t xml:space="preserve">ATUALIZAÇÃO v3 — 15/08/2026</t>
  </si>
  <si>
    <t xml:space="preserve">Cobertura do censo</t>
  </si>
  <si>
    <t xml:space="preserve">12 de 27 administrações (44,4%). UF-17 respondeu na fase final da coleta e passa a constar como respondente na aba 01.</t>
  </si>
  <si>
    <t xml:space="preserve">Efeito sobre este recálculo</t>
  </si>
  <si>
    <t xml:space="preserve">Nenhum sobre os KPIs de fonte aberta, calculados para as 27 UFs independentemente da resposta ao censo. O efeito é restrito ao cotejo da aba 03.</t>
  </si>
  <si>
    <t xml:space="preserve">Cotejo censo x fonte aberta</t>
  </si>
  <si>
    <t xml:space="preserve">Executável em 9 das 12 respondentes. UF-15, UF-08 e UF-17 não informaram C1.1 em forma utilizável.</t>
  </si>
  <si>
    <t xml:space="preserve">Índices do censo após a incorporação</t>
  </si>
  <si>
    <t xml:space="preserve">IMI 68,6 · IPR 53,2 · IEI 67,7, todos com N = 12. Correlação IMI × IPR de −0,32.</t>
  </si>
  <si>
    <t xml:space="preserve">Base de respostas</t>
  </si>
  <si>
    <t xml:space="preserve">CENATE-respostas_dos_questionarios_v9. A seção C12 do UF-08, antes obtida por via da LAI, consta agora da própria base.</t>
  </si>
  <si>
    <t xml:space="preserve">ATUALIZAÇÃO v4</t>
  </si>
  <si>
    <t xml:space="preserve">CENATE-respostas_dos_questionarios_v10. Única alteração em relação à v9: o UF-23 complementou treze variáveis do caderno quantitativo e reclassificou um item da seção C12.</t>
  </si>
  <si>
    <t xml:space="preserve">Efeito sobre os KPIs de fonte aberta</t>
  </si>
  <si>
    <t xml:space="preserve">Nenhum. Os KPIs desta planilha são calculados para as 27 UFs a partir de FINBRA/SICONFI, independentemente da resposta ao censo.</t>
  </si>
  <si>
    <t xml:space="preserve">Efeito sobre o cotejo (aba 03)</t>
  </si>
  <si>
    <t xml:space="preserve">Nenhum. UF-23 já integrava os nove pares comparáveis; a variável C1.1, base do cotejo, não foi alterada.</t>
  </si>
  <si>
    <t xml:space="preserve">12 de 27 administrações (44,4%), inalterada.</t>
  </si>
  <si>
    <t xml:space="preserve">Índices do censo após a atualização</t>
  </si>
  <si>
    <t xml:space="preserve">IMI 68,6 · IPR 53,3 · IEI 67,7, todos com N = 12. Correlação IMI × IPR de −0,32.</t>
  </si>
  <si>
    <t xml:space="preserve">Bloco C</t>
  </si>
  <si>
    <t xml:space="preserve">Campos com informação utilizável passam de 474 para 487, de 64,8% para 66,5% do total esperado.</t>
  </si>
  <si>
    <t xml:space="preserve">ATUALIZACAO v5 — 31/08/2026</t>
  </si>
  <si>
    <t xml:space="preserve">CENATE-respostas_dos_questionarios_v_11.xlsx (13 respostas; a 13a recebida em 31/08/2026)</t>
  </si>
  <si>
    <t xml:space="preserve">13 de 27 administracoes (48,1%)</t>
  </si>
  <si>
    <t xml:space="preserve">Nenhum. Os KPIs das abas 01 e 02 sao calculados para as 27 UFs a partir de fontes publicas.</t>
  </si>
  <si>
    <t xml:space="preserve">A 13a unidade (AP) passa de nao respondente a respondente. O cotejo NAO e executavel nela: a seçao C1 apresenta duas escalas monetarias distintas e uma impossibilidade aritmetica (C6.2 &gt; C6.1). Ver aba 05_COTEJO_UF21.</t>
  </si>
  <si>
    <t xml:space="preserve">Executavel em 9 das 13 respondentes (antes: 9 das 12).</t>
  </si>
  <si>
    <t xml:space="preserve">Indices do censo apos a atualizacao</t>
  </si>
  <si>
    <t xml:space="preserve">IMI 66,7 (N=13) · IPR 53,3 (N=12) · IEI 69,9 (N=13)</t>
  </si>
  <si>
    <t xml:space="preserve">Campos com informacao utilizavel: 509 de 793 (64,2%). Antes: 487 de 732 (66,5%).</t>
  </si>
  <si>
    <t xml:space="preserve">VERSAO PSEUDONIMIZADA</t>
  </si>
  <si>
    <t xml:space="preserve">Distribuicao publica. Suprimidas a coluna de adesao ao censo (aba 01) e a identificacao das</t>
  </si>
  <si>
    <t xml:space="preserve">unidades no cotejo (aba 03). A aba 02 permanece integral: sao dados abertos das 27 UFs, sem</t>
  </si>
  <si>
    <t xml:space="preserve">vinculo com a condicao de respondente. Chave de correspondencia sob custodia do autor.</t>
  </si>
  <si>
    <t xml:space="preserve">01 · KPIs de Fonte Aberta — 27 UFs (tabela para inserção no TFM)</t>
  </si>
  <si>
    <t xml:space="preserve">Ano-base 2025 (FINBRA/SICONFI). Versao pseudonimizada: a coluna de adesao ao censo foi suprimida.</t>
  </si>
  <si>
    <t xml:space="preserve">UF</t>
  </si>
  <si>
    <t xml:space="preserve">Estado</t>
  </si>
  <si>
    <t xml:space="preserve">K12 · Participação do ICMS (%)</t>
  </si>
  <si>
    <t xml:space="preserve">K10 · Custo AT/arrec. (%) [ressalva]</t>
  </si>
  <si>
    <t xml:space="preserve">Proxy K11 · Cresc. nominal ICMS 2022→2023 (%)</t>
  </si>
  <si>
    <t xml:space="preserve">Arrecadação própria estadual (R$ mi)</t>
  </si>
  <si>
    <t xml:space="preserve">ICMS (R$ mi)</t>
  </si>
  <si>
    <t xml:space="preserve">Arrecadação per capita (R$)</t>
  </si>
  <si>
    <t xml:space="preserve">ICMS per capita (R$)</t>
  </si>
  <si>
    <t xml:space="preserve">Carga ICMS/PIB (%) [PIB 2023]</t>
  </si>
  <si>
    <t xml:space="preserve">AC</t>
  </si>
  <si>
    <t xml:space="preserve">Acre</t>
  </si>
  <si>
    <t xml:space="preserve">AL</t>
  </si>
  <si>
    <t xml:space="preserve">Alagoas</t>
  </si>
  <si>
    <t xml:space="preserve">ND</t>
  </si>
  <si>
    <t xml:space="preserve">AM</t>
  </si>
  <si>
    <t xml:space="preserve">Amazonas</t>
  </si>
  <si>
    <t xml:space="preserve">AP</t>
  </si>
  <si>
    <t xml:space="preserve">Amapá</t>
  </si>
  <si>
    <t xml:space="preserve">BA</t>
  </si>
  <si>
    <t xml:space="preserve">Bahia</t>
  </si>
  <si>
    <t xml:space="preserve">CE</t>
  </si>
  <si>
    <t xml:space="preserve">Ceará</t>
  </si>
  <si>
    <t xml:space="preserve">DF</t>
  </si>
  <si>
    <t xml:space="preserve">Distrito Federal</t>
  </si>
  <si>
    <t xml:space="preserve">ES</t>
  </si>
  <si>
    <t xml:space="preserve">Espírito Santo</t>
  </si>
  <si>
    <t xml:space="preserve">GO</t>
  </si>
  <si>
    <t xml:space="preserve">Goiás</t>
  </si>
  <si>
    <t xml:space="preserve">MA</t>
  </si>
  <si>
    <t xml:space="preserve">Maranhão</t>
  </si>
  <si>
    <t xml:space="preserve">MG</t>
  </si>
  <si>
    <t xml:space="preserve">Minas Gerais</t>
  </si>
  <si>
    <t xml:space="preserve">MS</t>
  </si>
  <si>
    <t xml:space="preserve">Mato Grosso do Sul</t>
  </si>
  <si>
    <t xml:space="preserve">MT</t>
  </si>
  <si>
    <t xml:space="preserve">Mato Grosso</t>
  </si>
  <si>
    <t xml:space="preserve">PA</t>
  </si>
  <si>
    <t xml:space="preserve">Pará</t>
  </si>
  <si>
    <t xml:space="preserve">PB</t>
  </si>
  <si>
    <t xml:space="preserve">Paraíba</t>
  </si>
  <si>
    <t xml:space="preserve">PE</t>
  </si>
  <si>
    <t xml:space="preserve">Pernambuco</t>
  </si>
  <si>
    <t xml:space="preserve">PI</t>
  </si>
  <si>
    <t xml:space="preserve">Piauí</t>
  </si>
  <si>
    <t xml:space="preserve">PR</t>
  </si>
  <si>
    <t xml:space="preserve">Paraná</t>
  </si>
  <si>
    <t xml:space="preserve">RJ</t>
  </si>
  <si>
    <t xml:space="preserve">Rio de Janeiro</t>
  </si>
  <si>
    <t xml:space="preserve">RN</t>
  </si>
  <si>
    <t xml:space="preserve">Rio Grande do Norte</t>
  </si>
  <si>
    <t xml:space="preserve">RO</t>
  </si>
  <si>
    <t xml:space="preserve">Rondônia</t>
  </si>
  <si>
    <t xml:space="preserve">RR</t>
  </si>
  <si>
    <t xml:space="preserve">Roraima</t>
  </si>
  <si>
    <t xml:space="preserve">RS</t>
  </si>
  <si>
    <t xml:space="preserve">Rio Grande do Sul</t>
  </si>
  <si>
    <t xml:space="preserve">SC</t>
  </si>
  <si>
    <t xml:space="preserve">Santa Catarina</t>
  </si>
  <si>
    <t xml:space="preserve">SE</t>
  </si>
  <si>
    <t xml:space="preserve">Sergipe</t>
  </si>
  <si>
    <t xml:space="preserve">SP</t>
  </si>
  <si>
    <t xml:space="preserve">São Paulo</t>
  </si>
  <si>
    <t xml:space="preserve">TO</t>
  </si>
  <si>
    <t xml:space="preserve">Tocantins</t>
  </si>
  <si>
    <t xml:space="preserve">Legenda: verde = KPI robusto por fonte aberta; laranja = ressalva de perímetro (subfunção 04.129 sub-alocada; não usar como valor validado). ND = variável-fonte não publicada para a UF.</t>
  </si>
  <si>
    <t xml:space="preserve">02 · Denominadores e insumos das fontes abertas</t>
  </si>
  <si>
    <t xml:space="preserve">FINBRA/SICONFI 2025 · CONFAZ 2023 · IBGE (pop. 2025, PIB 2023)</t>
  </si>
  <si>
    <t xml:space="preserve">Arrecadação própria (R$ mi)</t>
  </si>
  <si>
    <t xml:space="preserve">IPVA (R$ mi)</t>
  </si>
  <si>
    <t xml:space="preserve">ITCD (R$ mi)</t>
  </si>
  <si>
    <t xml:space="preserve">Taxas (R$ mi)</t>
  </si>
  <si>
    <t xml:space="preserve">Arrec. bruta FINBRA 1.1.0.0 (inclui IRRF)</t>
  </si>
  <si>
    <t xml:space="preserve">Despesa 04.129 Adm. Receitas (R$ mi)</t>
  </si>
  <si>
    <t xml:space="preserve">Despesa Função 04 total (R$ mi)</t>
  </si>
  <si>
    <t xml:space="preserve">População 2025</t>
  </si>
  <si>
    <t xml:space="preserve">PIB 2023 (R$ mi)</t>
  </si>
  <si>
    <t xml:space="preserve">Dívida ativa — estoque 31/12/2025 (R$ mi)</t>
  </si>
  <si>
    <t xml:space="preserve">Arrec. dívida ativa ICMS 2023 (R$ mi)</t>
  </si>
  <si>
    <t xml:space="preserve">03 · Cotejo — KPI declarado no censo × calculado por fonte aberta</t>
  </si>
  <si>
    <t xml:space="preserve">Validacao nas 13 UFs respondentes. Versao pseudonimizada: identificacao por codigo neutro.</t>
  </si>
  <si>
    <t xml:space="preserve">Codigo</t>
  </si>
  <si>
    <t xml:space="preserve">(suprimido)</t>
  </si>
  <si>
    <t xml:space="preserve">K12 censo (%)</t>
  </si>
  <si>
    <t xml:space="preserve">K12 aberto (%)</t>
  </si>
  <si>
    <t xml:space="preserve">Δ K12 (p.p.)</t>
  </si>
  <si>
    <t xml:space="preserve">Arrec. própria censo C1.1 (R$ mi)</t>
  </si>
  <si>
    <t xml:space="preserve">Arrec. própria aberto (R$ mi)</t>
  </si>
  <si>
    <t xml:space="preserve">UF-07</t>
  </si>
  <si>
    <t xml:space="preserve">—</t>
  </si>
  <si>
    <t xml:space="preserve">UF-05</t>
  </si>
  <si>
    <t xml:space="preserve">UF-06</t>
  </si>
  <si>
    <t xml:space="preserve">UF-13</t>
  </si>
  <si>
    <t xml:space="preserve">UF-14</t>
  </si>
  <si>
    <t xml:space="preserve">UF-11</t>
  </si>
  <si>
    <t xml:space="preserve">UF-15</t>
  </si>
  <si>
    <t xml:space="preserve">UF-23</t>
  </si>
  <si>
    <t xml:space="preserve">UF-19</t>
  </si>
  <si>
    <t xml:space="preserve">UF-24</t>
  </si>
  <si>
    <t xml:space="preserve">UF-08</t>
  </si>
  <si>
    <t xml:space="preserve">UF-17</t>
  </si>
  <si>
    <t xml:space="preserve">Diferenças remanescentes decorrem de perímetro (a arrecadação FINBRA exclui IRRF; alguns entes classificam ICMS-ST/FECP de modo distinto) e de eventual erro de digitação no censo (ex.: MT C1.1). Verde ≤3 p.p.; amarelo ≤8 p.p.; laranja &gt;8 p.p.</t>
  </si>
  <si>
    <t xml:space="preserve">Nota. UF-08 e o UF-17 responderam integralmente aos blocos qualitativos, mas não informaram a variável C1.1 em forma utilizável: o UF-08 deixou 55 das 61 variáveis do caderno quantitativo sem informação e o UF-17 declarou as seis primeiras com valor zero, tratado como não informado. UF-15 encontra-se em situação equivalente. Nessas três unidades o cotejo com a fonte aberta não é executável, restando 9 pares comparáveis entre as 12 respondentes.</t>
  </si>
  <si>
    <t xml:space="preserve">UF-21</t>
  </si>
  <si>
    <t xml:space="preserve">Nota v5. UF-21 aderiu ao instrumento em 31/08/2026. O cotejo do K12 declarado nao foi executado: a seçao C1 apresenta escalas monetarias divergentes entre C1.1/C1.7 e C1.2-C1.6, e a razao C6.2/C6.1 e impossivel. Sob a leitura centesimal, C1.2+C1.3 = 1.691,62 R$ mi contra 1.702,93 R$ mi da fonte aberta (-0,66%), hipotese registrada e nao confirmada pela unidade informante.</t>
  </si>
  <si>
    <t xml:space="preserve">04 · Fontes utilizadas e pendências (links a pesquisar)</t>
  </si>
  <si>
    <t xml:space="preserve">Situação por KPI de fonte aberta — inalterada; revisada na v4</t>
  </si>
  <si>
    <t xml:space="preserve">KPI / Insumo</t>
  </si>
  <si>
    <t xml:space="preserve">Situação</t>
  </si>
  <si>
    <t xml:space="preserve">Fonte aberta</t>
  </si>
  <si>
    <t xml:space="preserve">Link (a acessar/atualizar)</t>
  </si>
  <si>
    <t xml:space="preserve">Granularidade</t>
  </si>
  <si>
    <t xml:space="preserve">O que falta</t>
  </si>
  <si>
    <t xml:space="preserve">K12 Participação ICMS</t>
  </si>
  <si>
    <t xml:space="preserve">Calculado (27 UFs)</t>
  </si>
  <si>
    <t xml:space="preserve">FINBRA/SICONFI 2025 — Receitas Orçamentárias (Anexo I-C)</t>
  </si>
  <si>
    <t xml:space="preserve">https://siconfi.tesouro.gov.br/siconfi/pages/public/consulta_finbra/finbra_list.jsf</t>
  </si>
  <si>
    <t xml:space="preserve">UF, anual</t>
  </si>
  <si>
    <t xml:space="preserve">K10 Custo AT/arrec.</t>
  </si>
  <si>
    <t xml:space="preserve">Parcial/frágil (13 UFs)</t>
  </si>
  <si>
    <t xml:space="preserve">SICONFI Despesas por Função — subfunção 04.129</t>
  </si>
  <si>
    <t xml:space="preserve">https://apidatalake.tesouro.gov.br/ords/siconfi/tt/rreo</t>
  </si>
  <si>
    <t xml:space="preserve">Despesa da AT em perímetro correto (RREO Anexo 2 ou contabilidade interna). 04.129 é sub-alocada.</t>
  </si>
  <si>
    <t xml:space="preserve">K11 Crescimento arrecadação</t>
  </si>
  <si>
    <t xml:space="preserve">Proxy 2022→2023 (ICMS)</t>
  </si>
  <si>
    <t xml:space="preserve">CONFAZ — Boletim de Arrecadação (SIGDEF)</t>
  </si>
  <si>
    <t xml:space="preserve">https://app.powerbi.com/view?r=CONFAZ-BoletimArrecadacao  |  https://dados.gov.br</t>
  </si>
  <si>
    <t xml:space="preserve">UF, mensal</t>
  </si>
  <si>
    <t xml:space="preserve">Série de arrecadação total 2024 e 2025 (o arquivo CONFAZ anexado vai só até 2023 e sem receita tributária total).</t>
  </si>
  <si>
    <t xml:space="preserve">K13 TIC/AT</t>
  </si>
  <si>
    <t xml:space="preserve">Não calculável</t>
  </si>
  <si>
    <t xml:space="preserve">SICONFI subfunção 04.126</t>
  </si>
  <si>
    <t xml:space="preserve">https://siconfi.tesouro.gov.br</t>
  </si>
  <si>
    <t xml:space="preserve">Despesa de TIC específica da AT (04.126 é TIC de todo o Estado). Só via contabilidade interna.</t>
  </si>
  <si>
    <t xml:space="preserve">K18 Recuperação dívida ativa</t>
  </si>
  <si>
    <t xml:space="preserve">Parcial</t>
  </si>
  <si>
    <t xml:space="preserve">CONFAZ (arrec. DA ICMS) + SICONFI Balanço Patrimonial</t>
  </si>
  <si>
    <t xml:space="preserve">https://siconfi.tesouro.gov.br  |  CONFAZ SIGDEF</t>
  </si>
  <si>
    <t xml:space="preserve">Estoque INICIAL da dívida ativa (Balanço Patrimonial 31/12/2024).</t>
  </si>
  <si>
    <t xml:space="preserve">K19 Crescimento estoque DA</t>
  </si>
  <si>
    <t xml:space="preserve">SICONFI — Balanço Patrimonial DCA</t>
  </si>
  <si>
    <t xml:space="preserve">Balanço Patrimonial 2024 (estoque inicial). Só o de 2025 foi anexado.</t>
  </si>
  <si>
    <t xml:space="preserve">K02 Contribuintes/servidor</t>
  </si>
  <si>
    <t xml:space="preserve">Pendente</t>
  </si>
  <si>
    <t xml:space="preserve">Receita Federal — CNPJ (estabelecimentos ativos)</t>
  </si>
  <si>
    <t xml:space="preserve">https://dados.rfb.gov.br/CNPJ/  |  https://www.gov.br/receitafederal (Painel CNPJ)</t>
  </si>
  <si>
    <t xml:space="preserve">Base de estabelecimentos ativos por UF (proxy do denominador) + efetivo da AT.</t>
  </si>
  <si>
    <t xml:space="preserve">K03 Densidade de auditores</t>
  </si>
  <si>
    <t xml:space="preserve">Portais estaduais de transparência (folha)</t>
  </si>
  <si>
    <t xml:space="preserve">27 portais estaduais de transparência (um por UF)</t>
  </si>
  <si>
    <t xml:space="preserve">UF, heterogêneo</t>
  </si>
  <si>
    <t xml:space="preserve">Efetivo total e nº de auditores por UF (harmonização manual).</t>
  </si>
  <si>
    <t xml:space="preserve">K20 Crédito/auditor</t>
  </si>
  <si>
    <t xml:space="preserve">Portais de transparência + relatórios de gestão</t>
  </si>
  <si>
    <t xml:space="preserve">Sítios das 27 SEFAZ</t>
  </si>
  <si>
    <t xml:space="preserve">UF, parcial</t>
  </si>
  <si>
    <t xml:space="preserve">Crédito constituído e nº de auditores por UF.</t>
  </si>
  <si>
    <t xml:space="preserve">K25/K26/K29 Contencioso</t>
  </si>
  <si>
    <t xml:space="preserve">Relatórios de conselhos/tribunais administrativos</t>
  </si>
  <si>
    <t xml:space="preserve">Sítios dos Tribunais/Conselhos Administrativos Tributários estaduais</t>
  </si>
  <si>
    <t xml:space="preserve">UF, irregular</t>
  </si>
  <si>
    <t xml:space="preserve">Estoque, entradas, tempo de tramitação e taxa de êxito por UF.</t>
  </si>
  <si>
    <t xml:space="preserve">Deflator (K11 real)</t>
  </si>
  <si>
    <t xml:space="preserve">Disponível</t>
  </si>
  <si>
    <t xml:space="preserve">IBGE — IPCA (Tabela 1737)</t>
  </si>
  <si>
    <t xml:space="preserve">https://sidra.ibge.gov.br/tabela/1737</t>
  </si>
  <si>
    <t xml:space="preserve">Nacional, mensal</t>
  </si>
  <si>
    <t xml:space="preserve">PIB estadual</t>
  </si>
  <si>
    <t xml:space="preserve">Disponível (2023)</t>
  </si>
  <si>
    <t xml:space="preserve">IBGE — Contas Regionais (Tabela 5938)</t>
  </si>
  <si>
    <t xml:space="preserve">https://sidra.ibge.gov.br/tabela/5938</t>
  </si>
  <si>
    <t xml:space="preserve">PIB 2024/2025 quando publicado (defasagem: última edição 2023).</t>
  </si>
  <si>
    <t xml:space="preserve">População</t>
  </si>
  <si>
    <t xml:space="preserve">Disponível (2025)</t>
  </si>
  <si>
    <t xml:space="preserve">IBGE — Estimativas (Tabela 6579)</t>
  </si>
  <si>
    <t xml:space="preserve">https://sidra.ibge.gov.br/tabela/6579</t>
  </si>
  <si>
    <t xml:space="preserve">ISORA / TADAT / TAS</t>
  </si>
  <si>
    <t xml:space="preserve">Benchmark</t>
  </si>
  <si>
    <t xml:space="preserve">FMI/OCDE/CIAT/IOTA</t>
  </si>
  <si>
    <t xml:space="preserve">https://data.ra-fit.org (ISORA)  |  https://www.tadat.org  |  https://www.oecd.org/tax/administration/</t>
  </si>
  <si>
    <t xml:space="preserve">Nacional</t>
  </si>
  <si>
    <t xml:space="preserve">Benchmark internacional das fichas (não por UF).</t>
  </si>
  <si>
    <t xml:space="preserve">UF-21 — cotejo do Bloco C declarado com fonte aberta</t>
  </si>
  <si>
    <t xml:space="preserve">Variavel</t>
  </si>
  <si>
    <t xml:space="preserve">Descricao</t>
  </si>
  <si>
    <t xml:space="preserve">Declarado</t>
  </si>
  <si>
    <t xml:space="preserve">Leitura centesimal (R$ mi)</t>
  </si>
  <si>
    <t xml:space="preserve">Fonte aberta (R$ mi)</t>
  </si>
  <si>
    <t xml:space="preserve">Situacao</t>
  </si>
  <si>
    <t xml:space="preserve">C1.1</t>
  </si>
  <si>
    <t xml:space="preserve">Arrecadacao total de tributos estaduais</t>
  </si>
  <si>
    <t xml:space="preserve">2.65752</t>
  </si>
  <si>
    <t xml:space="preserve">2.657,52</t>
  </si>
  <si>
    <t xml:space="preserve">2.744,90 (bruta FINBRA) / 1.951,40 (propria)</t>
  </si>
  <si>
    <t xml:space="preserve">Escala divergente — nao cotejado</t>
  </si>
  <si>
    <t xml:space="preserve">C1.2+C1.3</t>
  </si>
  <si>
    <t xml:space="preserve">ICMS proprio + ICMS-ST</t>
  </si>
  <si>
    <t xml:space="preserve">73914 + 95248</t>
  </si>
  <si>
    <t xml:space="preserve">1.691,62</t>
  </si>
  <si>
    <t xml:space="preserve">1.702,93</t>
  </si>
  <si>
    <t xml:space="preserve">Delta -0,66% sob hipotese de escala centesimal</t>
  </si>
  <si>
    <t xml:space="preserve">C1.4</t>
  </si>
  <si>
    <t xml:space="preserve">ITCD/ITCMD</t>
  </si>
  <si>
    <t xml:space="preserve">368</t>
  </si>
  <si>
    <t xml:space="preserve">3,68</t>
  </si>
  <si>
    <t xml:space="preserve">3,80</t>
  </si>
  <si>
    <t xml:space="preserve">Delta -3,2%</t>
  </si>
  <si>
    <t xml:space="preserve">C1.5</t>
  </si>
  <si>
    <t xml:space="preserve">IPVA</t>
  </si>
  <si>
    <t xml:space="preserve">14262</t>
  </si>
  <si>
    <t xml:space="preserve">142,62</t>
  </si>
  <si>
    <t xml:space="preserve">148,87</t>
  </si>
  <si>
    <t xml:space="preserve">Delta -4,2%</t>
  </si>
  <si>
    <t xml:space="preserve">C1.6</t>
  </si>
  <si>
    <t xml:space="preserve">Taxas e demais tributos proprios</t>
  </si>
  <si>
    <t xml:space="preserve">1046</t>
  </si>
  <si>
    <t xml:space="preserve">10,46</t>
  </si>
  <si>
    <t xml:space="preserve">95,79</t>
  </si>
  <si>
    <t xml:space="preserve">Delta -89% — provavel diferenca de perimetro</t>
  </si>
  <si>
    <t xml:space="preserve">K12</t>
  </si>
  <si>
    <t xml:space="preserve">Participacao do ICMS na arrecadacao propria</t>
  </si>
  <si>
    <t xml:space="preserve">87,27%</t>
  </si>
  <si>
    <t xml:space="preserve">Nao calculavel a partir do declarado</t>
  </si>
  <si>
    <t xml:space="preserve">C6.1 / C6.2</t>
  </si>
  <si>
    <t xml:space="preserve">Pagamentos devidos / pagos no prazo</t>
  </si>
  <si>
    <t xml:space="preserve">24742 / 36569</t>
  </si>
  <si>
    <t xml:space="preserve">247,42 / 365,69</t>
  </si>
  <si>
    <t xml:space="preserve">IMPOSSIVEL: pago no prazo supera o devido</t>
  </si>
  <si>
    <t xml:space="preserve">Conclusao: a UF-21 nao integra as comparacoes de indicadores do Bloco C. As variaveis ficam registradas com ressalva, sem correcao de oficio, conforme o protocolo de tratamento.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</si>
</sst>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"/>
    <numFmt numFmtId="167" formatCode="#,##0"/>
    <numFmt numFmtId="168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Cambria"/>
      <family val="0"/>
      <charset val="1"/>
    </font>
    <font>
      <i val="true"/>
      <sz val="9"/>
      <color rgb="FF404040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i val="true"/>
      <sz val="8"/>
      <color rgb="FF595959"/>
      <name val="Cambria"/>
      <family val="0"/>
      <charset val="1"/>
    </font>
    <font>
      <sz val="10"/>
      <name val="Arial"/>
      <family val="0"/>
      <charset val="1"/>
    </font>
    <font>
      <i val="true"/>
      <sz val="9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2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.75" hidden="false" customHeight="true" outlineLevel="0" collapsed="false">
      <c r="A4" s="4"/>
      <c r="B4" s="5"/>
      <c r="C4" s="5"/>
      <c r="D4" s="5"/>
      <c r="E4" s="5"/>
      <c r="F4" s="5"/>
    </row>
    <row r="5" customFormat="false" ht="30" hidden="false" customHeight="true" outlineLevel="0" collapsed="false">
      <c r="A5" s="6" t="s">
        <v>2</v>
      </c>
      <c r="B5" s="5" t="s">
        <v>3</v>
      </c>
      <c r="C5" s="5"/>
      <c r="D5" s="5"/>
      <c r="E5" s="5"/>
      <c r="F5" s="5"/>
    </row>
    <row r="6" customFormat="false" ht="30" hidden="false" customHeight="true" outlineLevel="0" collapsed="false">
      <c r="A6" s="6" t="s">
        <v>4</v>
      </c>
      <c r="B6" s="5" t="s">
        <v>5</v>
      </c>
      <c r="C6" s="5"/>
      <c r="D6" s="5"/>
      <c r="E6" s="5"/>
      <c r="F6" s="5"/>
    </row>
    <row r="7" customFormat="false" ht="30" hidden="false" customHeight="true" outlineLevel="0" collapsed="false">
      <c r="A7" s="6" t="s">
        <v>6</v>
      </c>
      <c r="B7" s="5" t="s">
        <v>7</v>
      </c>
      <c r="C7" s="5"/>
      <c r="D7" s="5"/>
      <c r="E7" s="5"/>
      <c r="F7" s="5"/>
    </row>
    <row r="8" customFormat="false" ht="15.75" hidden="false" customHeight="true" outlineLevel="0" collapsed="false">
      <c r="A8" s="4"/>
      <c r="B8" s="5"/>
      <c r="C8" s="5"/>
      <c r="D8" s="5"/>
      <c r="E8" s="5"/>
      <c r="F8" s="5"/>
    </row>
    <row r="9" customFormat="false" ht="15.75" hidden="false" customHeight="true" outlineLevel="0" collapsed="false">
      <c r="A9" s="7" t="s">
        <v>8</v>
      </c>
      <c r="B9" s="7" t="s">
        <v>9</v>
      </c>
      <c r="C9" s="7"/>
      <c r="D9" s="7"/>
      <c r="E9" s="7"/>
      <c r="F9" s="7"/>
    </row>
    <row r="10" customFormat="false" ht="30" hidden="false" customHeight="true" outlineLevel="0" collapsed="false">
      <c r="A10" s="4" t="s">
        <v>10</v>
      </c>
      <c r="B10" s="5" t="s">
        <v>11</v>
      </c>
      <c r="C10" s="5"/>
      <c r="D10" s="5"/>
      <c r="E10" s="5"/>
      <c r="F10" s="5"/>
    </row>
    <row r="11" customFormat="false" ht="30" hidden="false" customHeight="true" outlineLevel="0" collapsed="false">
      <c r="A11" s="4" t="s">
        <v>12</v>
      </c>
      <c r="B11" s="5" t="s">
        <v>13</v>
      </c>
      <c r="C11" s="5"/>
      <c r="D11" s="5"/>
      <c r="E11" s="5"/>
      <c r="F11" s="5"/>
    </row>
    <row r="12" customFormat="false" ht="30" hidden="false" customHeight="true" outlineLevel="0" collapsed="false">
      <c r="A12" s="4" t="s">
        <v>14</v>
      </c>
      <c r="B12" s="5" t="s">
        <v>15</v>
      </c>
      <c r="C12" s="5"/>
      <c r="D12" s="5"/>
      <c r="E12" s="5"/>
      <c r="F12" s="5"/>
    </row>
    <row r="13" customFormat="false" ht="30" hidden="false" customHeight="true" outlineLevel="0" collapsed="false">
      <c r="A13" s="4" t="s">
        <v>16</v>
      </c>
      <c r="B13" s="5" t="s">
        <v>17</v>
      </c>
      <c r="C13" s="5"/>
      <c r="D13" s="5"/>
      <c r="E13" s="5"/>
      <c r="F13" s="5"/>
    </row>
    <row r="14" customFormat="false" ht="30" hidden="false" customHeight="true" outlineLevel="0" collapsed="false">
      <c r="A14" s="4" t="s">
        <v>18</v>
      </c>
      <c r="B14" s="5" t="s">
        <v>19</v>
      </c>
      <c r="C14" s="5"/>
      <c r="D14" s="5"/>
      <c r="E14" s="5"/>
      <c r="F14" s="5"/>
    </row>
    <row r="15" customFormat="false" ht="30" hidden="false" customHeight="true" outlineLevel="0" collapsed="false">
      <c r="A15" s="4" t="s">
        <v>20</v>
      </c>
      <c r="B15" s="5" t="s">
        <v>21</v>
      </c>
      <c r="C15" s="5"/>
      <c r="D15" s="5"/>
      <c r="E15" s="5"/>
      <c r="F15" s="5"/>
    </row>
    <row r="16" customFormat="false" ht="15.75" hidden="false" customHeight="true" outlineLevel="0" collapsed="false">
      <c r="A16" s="4"/>
      <c r="B16" s="5"/>
      <c r="C16" s="5"/>
      <c r="D16" s="5"/>
      <c r="E16" s="5"/>
      <c r="F16" s="5"/>
    </row>
    <row r="17" customFormat="false" ht="30" hidden="false" customHeight="true" outlineLevel="0" collapsed="false">
      <c r="A17" s="6" t="s">
        <v>22</v>
      </c>
      <c r="B17" s="5" t="s">
        <v>23</v>
      </c>
      <c r="C17" s="5"/>
      <c r="D17" s="5"/>
      <c r="E17" s="5"/>
      <c r="F17" s="5"/>
    </row>
    <row r="18" customFormat="false" ht="30" hidden="false" customHeight="true" outlineLevel="0" collapsed="false">
      <c r="A18" s="6" t="s">
        <v>24</v>
      </c>
      <c r="B18" s="5" t="s">
        <v>25</v>
      </c>
      <c r="C18" s="5"/>
      <c r="D18" s="5"/>
      <c r="E18" s="5"/>
      <c r="F18" s="5"/>
    </row>
    <row r="19" customFormat="false" ht="30" hidden="false" customHeight="true" outlineLevel="0" collapsed="false">
      <c r="A19" s="6" t="s">
        <v>26</v>
      </c>
      <c r="B19" s="5" t="s">
        <v>27</v>
      </c>
      <c r="C19" s="5"/>
      <c r="D19" s="5"/>
      <c r="E19" s="5"/>
      <c r="F19" s="5"/>
    </row>
    <row r="21" customFormat="false" ht="15" hidden="false" customHeight="true" outlineLevel="0" collapsed="false">
      <c r="A21" s="8" t="s">
        <v>28</v>
      </c>
    </row>
    <row r="22" customFormat="false" ht="79.5" hidden="false" customHeight="true" outlineLevel="0" collapsed="false">
      <c r="A22" s="9" t="s">
        <v>29</v>
      </c>
      <c r="B22" s="10" t="s">
        <v>30</v>
      </c>
    </row>
    <row r="23" customFormat="false" ht="113.25" hidden="false" customHeight="true" outlineLevel="0" collapsed="false">
      <c r="A23" s="9" t="s">
        <v>31</v>
      </c>
      <c r="B23" s="10" t="s">
        <v>32</v>
      </c>
    </row>
    <row r="24" customFormat="false" ht="68.25" hidden="false" customHeight="true" outlineLevel="0" collapsed="false">
      <c r="A24" s="9" t="s">
        <v>33</v>
      </c>
      <c r="B24" s="10" t="s">
        <v>34</v>
      </c>
    </row>
    <row r="25" customFormat="false" ht="57" hidden="false" customHeight="true" outlineLevel="0" collapsed="false">
      <c r="A25" s="9" t="s">
        <v>35</v>
      </c>
      <c r="B25" s="10" t="s">
        <v>36</v>
      </c>
    </row>
    <row r="26" customFormat="false" ht="63.75" hidden="false" customHeight="true" outlineLevel="0" collapsed="false">
      <c r="A26" s="9" t="s">
        <v>37</v>
      </c>
      <c r="B26" s="10" t="s">
        <v>38</v>
      </c>
    </row>
    <row r="28" customFormat="false" ht="15" hidden="false" customHeight="true" outlineLevel="0" collapsed="false">
      <c r="A28" s="8" t="s">
        <v>39</v>
      </c>
    </row>
    <row r="29" customFormat="false" ht="84.75" hidden="false" customHeight="true" outlineLevel="0" collapsed="false">
      <c r="A29" s="9" t="s">
        <v>37</v>
      </c>
      <c r="B29" s="10" t="s">
        <v>40</v>
      </c>
    </row>
    <row r="30" customFormat="false" ht="63.75" hidden="false" customHeight="true" outlineLevel="0" collapsed="false">
      <c r="A30" s="9" t="s">
        <v>41</v>
      </c>
      <c r="B30" s="10" t="s">
        <v>42</v>
      </c>
    </row>
    <row r="31" customFormat="false" ht="53.25" hidden="false" customHeight="true" outlineLevel="0" collapsed="false">
      <c r="A31" s="9" t="s">
        <v>43</v>
      </c>
      <c r="B31" s="10" t="s">
        <v>44</v>
      </c>
    </row>
    <row r="32" customFormat="false" ht="21.75" hidden="false" customHeight="true" outlineLevel="0" collapsed="false">
      <c r="A32" s="9" t="s">
        <v>29</v>
      </c>
      <c r="B32" s="10" t="s">
        <v>45</v>
      </c>
    </row>
    <row r="33" customFormat="false" ht="32.25" hidden="false" customHeight="true" outlineLevel="0" collapsed="false">
      <c r="A33" s="9" t="s">
        <v>46</v>
      </c>
      <c r="B33" s="10" t="s">
        <v>47</v>
      </c>
    </row>
    <row r="34" customFormat="false" ht="42.75" hidden="false" customHeight="true" outlineLevel="0" collapsed="false">
      <c r="A34" s="9" t="s">
        <v>48</v>
      </c>
      <c r="B34" s="10" t="s">
        <v>49</v>
      </c>
    </row>
    <row r="36" customFormat="false" ht="15" hidden="false" customHeight="true" outlineLevel="0" collapsed="false">
      <c r="A36" s="11" t="s">
        <v>50</v>
      </c>
    </row>
    <row r="37" customFormat="false" ht="81.75" hidden="false" customHeight="true" outlineLevel="0" collapsed="false">
      <c r="A37" s="11" t="s">
        <v>37</v>
      </c>
      <c r="B37" s="12" t="s">
        <v>51</v>
      </c>
    </row>
    <row r="38" customFormat="false" ht="41.25" hidden="false" customHeight="true" outlineLevel="0" collapsed="false">
      <c r="A38" s="11" t="s">
        <v>29</v>
      </c>
      <c r="B38" s="12" t="s">
        <v>52</v>
      </c>
    </row>
    <row r="39" customFormat="false" ht="68.25" hidden="false" customHeight="true" outlineLevel="0" collapsed="false">
      <c r="A39" s="11" t="s">
        <v>41</v>
      </c>
      <c r="B39" s="12" t="s">
        <v>53</v>
      </c>
    </row>
    <row r="40" customFormat="false" ht="175.5" hidden="false" customHeight="true" outlineLevel="0" collapsed="false">
      <c r="A40" s="11" t="s">
        <v>43</v>
      </c>
      <c r="B40" s="12" t="s">
        <v>54</v>
      </c>
    </row>
    <row r="41" customFormat="false" ht="41.25" hidden="false" customHeight="true" outlineLevel="0" collapsed="false">
      <c r="A41" s="11" t="s">
        <v>33</v>
      </c>
      <c r="B41" s="12" t="s">
        <v>55</v>
      </c>
    </row>
    <row r="42" customFormat="false" ht="41.25" hidden="false" customHeight="true" outlineLevel="0" collapsed="false">
      <c r="A42" s="11" t="s">
        <v>56</v>
      </c>
      <c r="B42" s="12" t="s">
        <v>57</v>
      </c>
    </row>
    <row r="43" customFormat="false" ht="68.25" hidden="false" customHeight="true" outlineLevel="0" collapsed="false">
      <c r="A43" s="11" t="s">
        <v>48</v>
      </c>
      <c r="B43" s="12" t="s">
        <v>58</v>
      </c>
    </row>
    <row r="45" customFormat="false" ht="15" hidden="false" customHeight="false" outlineLevel="0" collapsed="false">
      <c r="A45" s="13" t="s">
        <v>59</v>
      </c>
    </row>
    <row r="46" customFormat="false" ht="15" hidden="false" customHeight="false" outlineLevel="0" collapsed="false">
      <c r="A46" s="1" t="s">
        <v>60</v>
      </c>
    </row>
    <row r="47" customFormat="false" ht="15" hidden="false" customHeight="false" outlineLevel="0" collapsed="false">
      <c r="A47" s="1" t="s">
        <v>61</v>
      </c>
    </row>
    <row r="48" customFormat="false" ht="15" hidden="false" customHeight="false" outlineLevel="0" collapsed="false">
      <c r="A48" s="1" t="s">
        <v>62</v>
      </c>
    </row>
  </sheetData>
  <mergeCells count="18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6"/>
  </cols>
  <sheetData>
    <row r="1" customFormat="false" ht="24" hidden="false" customHeight="true" outlineLevel="0" collapsed="false">
      <c r="A1" s="14" t="s">
        <v>63</v>
      </c>
    </row>
    <row r="2" customFormat="false" ht="15.75" hidden="false" customHeight="true" outlineLevel="0" collapsed="false">
      <c r="A2" s="15" t="s">
        <v>64</v>
      </c>
    </row>
    <row r="4" customFormat="false" ht="42" hidden="false" customHeight="true" outlineLevel="0" collapsed="false">
      <c r="A4" s="16" t="s">
        <v>65</v>
      </c>
      <c r="B4" s="16" t="s">
        <v>66</v>
      </c>
      <c r="C4" s="16" t="s">
        <v>67</v>
      </c>
      <c r="D4" s="16" t="s">
        <v>68</v>
      </c>
      <c r="E4" s="16" t="s">
        <v>69</v>
      </c>
      <c r="F4" s="16" t="s">
        <v>70</v>
      </c>
      <c r="G4" s="16" t="s">
        <v>71</v>
      </c>
      <c r="H4" s="16" t="s">
        <v>72</v>
      </c>
      <c r="I4" s="16" t="s">
        <v>73</v>
      </c>
      <c r="J4" s="16" t="s">
        <v>74</v>
      </c>
    </row>
    <row r="5" customFormat="false" ht="15" hidden="false" customHeight="true" outlineLevel="0" collapsed="false">
      <c r="A5" s="17" t="s">
        <v>75</v>
      </c>
      <c r="B5" s="17" t="s">
        <v>76</v>
      </c>
      <c r="C5" s="18" t="n">
        <v>87.5520704442577</v>
      </c>
      <c r="D5" s="19" t="n">
        <v>3.05459271998558</v>
      </c>
      <c r="E5" s="20" t="n">
        <v>14.5289989828318</v>
      </c>
      <c r="F5" s="21" t="n">
        <v>2535.98457114</v>
      </c>
      <c r="G5" s="21" t="n">
        <v>2220.30699818</v>
      </c>
      <c r="H5" s="22" t="n">
        <v>2867.55411878712</v>
      </c>
      <c r="I5" s="22" t="n">
        <v>2510.60300210771</v>
      </c>
      <c r="J5" s="20" t="n">
        <v>8.44501878844353</v>
      </c>
    </row>
    <row r="6" customFormat="false" ht="15" hidden="false" customHeight="true" outlineLevel="0" collapsed="false">
      <c r="A6" s="17" t="s">
        <v>77</v>
      </c>
      <c r="B6" s="17" t="s">
        <v>78</v>
      </c>
      <c r="C6" s="18" t="n">
        <v>89.4706745798509</v>
      </c>
      <c r="D6" s="23" t="s">
        <v>79</v>
      </c>
      <c r="E6" s="20" t="n">
        <v>19.6365173135999</v>
      </c>
      <c r="F6" s="21" t="n">
        <v>10090.42673899</v>
      </c>
      <c r="G6" s="21" t="n">
        <v>9027.97287136</v>
      </c>
      <c r="H6" s="22" t="n">
        <v>3132.84785217744</v>
      </c>
      <c r="I6" s="22" t="n">
        <v>2802.98010690352</v>
      </c>
      <c r="J6" s="20" t="n">
        <v>10.0658717525592</v>
      </c>
    </row>
    <row r="7" customFormat="false" ht="15" hidden="false" customHeight="true" outlineLevel="0" collapsed="false">
      <c r="A7" s="17" t="s">
        <v>80</v>
      </c>
      <c r="B7" s="17" t="s">
        <v>81</v>
      </c>
      <c r="C7" s="18" t="n">
        <v>92.270526151412</v>
      </c>
      <c r="D7" s="19" t="n">
        <v>0.0302186940409897</v>
      </c>
      <c r="E7" s="20" t="n">
        <v>52.7459390562521</v>
      </c>
      <c r="F7" s="21" t="n">
        <v>18387.90697726</v>
      </c>
      <c r="G7" s="21" t="n">
        <v>16966.61851615</v>
      </c>
      <c r="H7" s="22" t="n">
        <v>4254.8683125155</v>
      </c>
      <c r="I7" s="22" t="n">
        <v>3925.98937900776</v>
      </c>
      <c r="J7" s="20" t="n">
        <v>10.4864928044181</v>
      </c>
    </row>
    <row r="8" customFormat="false" ht="15" hidden="false" customHeight="true" outlineLevel="0" collapsed="false">
      <c r="A8" s="17" t="s">
        <v>82</v>
      </c>
      <c r="B8" s="17" t="s">
        <v>83</v>
      </c>
      <c r="C8" s="18" t="n">
        <v>87.2672957676879</v>
      </c>
      <c r="D8" s="19" t="n">
        <v>1.86430553256869</v>
      </c>
      <c r="E8" s="20" t="n">
        <v>19.7932066194373</v>
      </c>
      <c r="F8" s="21" t="n">
        <v>1951.39521524</v>
      </c>
      <c r="G8" s="21" t="n">
        <v>1702.92983408</v>
      </c>
      <c r="H8" s="22" t="n">
        <v>2419.53389108971</v>
      </c>
      <c r="I8" s="22" t="n">
        <v>2111.4617969367</v>
      </c>
      <c r="J8" s="20" t="n">
        <v>6.07752512865755</v>
      </c>
    </row>
    <row r="9" customFormat="false" ht="15" hidden="false" customHeight="true" outlineLevel="0" collapsed="false">
      <c r="A9" s="17" t="s">
        <v>84</v>
      </c>
      <c r="B9" s="17" t="s">
        <v>85</v>
      </c>
      <c r="C9" s="18" t="n">
        <v>87.7345337934475</v>
      </c>
      <c r="D9" s="23" t="s">
        <v>79</v>
      </c>
      <c r="E9" s="20" t="n">
        <v>19.8802655310198</v>
      </c>
      <c r="F9" s="21" t="n">
        <v>47874.59291986</v>
      </c>
      <c r="G9" s="21" t="n">
        <v>42002.55090375</v>
      </c>
      <c r="H9" s="22" t="n">
        <v>3219.34586235123</v>
      </c>
      <c r="I9" s="22" t="n">
        <v>2824.4780835325</v>
      </c>
      <c r="J9" s="20" t="n">
        <v>9.74564610380098</v>
      </c>
    </row>
    <row r="10" customFormat="false" ht="15" hidden="false" customHeight="true" outlineLevel="0" collapsed="false">
      <c r="A10" s="17" t="s">
        <v>86</v>
      </c>
      <c r="B10" s="17" t="s">
        <v>87</v>
      </c>
      <c r="C10" s="18" t="n">
        <v>84.4072500693835</v>
      </c>
      <c r="D10" s="23" t="s">
        <v>79</v>
      </c>
      <c r="E10" s="20" t="n">
        <v>27.1319216699195</v>
      </c>
      <c r="F10" s="21" t="n">
        <v>25436.18702396</v>
      </c>
      <c r="G10" s="21" t="n">
        <v>21469.98598943</v>
      </c>
      <c r="H10" s="22" t="n">
        <v>2744.26983323041</v>
      </c>
      <c r="I10" s="22" t="n">
        <v>2316.36270071345</v>
      </c>
      <c r="J10" s="20" t="n">
        <v>9.24477035742067</v>
      </c>
    </row>
    <row r="11" customFormat="false" ht="15" hidden="false" customHeight="true" outlineLevel="0" collapsed="false">
      <c r="A11" s="17" t="s">
        <v>88</v>
      </c>
      <c r="B11" s="17" t="s">
        <v>89</v>
      </c>
      <c r="C11" s="18" t="n">
        <v>80.4006252281136</v>
      </c>
      <c r="D11" s="19" t="n">
        <v>0.815560213912314</v>
      </c>
      <c r="E11" s="20" t="n">
        <v>16.3559108912397</v>
      </c>
      <c r="F11" s="21" t="n">
        <v>15670.08872796</v>
      </c>
      <c r="G11" s="21" t="n">
        <v>12598.84931108</v>
      </c>
      <c r="H11" s="22" t="n">
        <v>5228.76771221186</v>
      </c>
      <c r="I11" s="22" t="n">
        <v>4203.96193234407</v>
      </c>
      <c r="J11" s="20" t="n">
        <v>3.44542348135134</v>
      </c>
    </row>
    <row r="12" customFormat="false" ht="15" hidden="false" customHeight="true" outlineLevel="0" collapsed="false">
      <c r="A12" s="17" t="s">
        <v>90</v>
      </c>
      <c r="B12" s="17" t="s">
        <v>91</v>
      </c>
      <c r="C12" s="18" t="n">
        <v>88.6913288406633</v>
      </c>
      <c r="D12" s="23" t="s">
        <v>79</v>
      </c>
      <c r="E12" s="20" t="n">
        <v>16.6396142405941</v>
      </c>
      <c r="F12" s="21" t="n">
        <v>25509.95461008</v>
      </c>
      <c r="G12" s="21" t="n">
        <v>22625.11773033</v>
      </c>
      <c r="H12" s="22" t="n">
        <v>6181.45313841488</v>
      </c>
      <c r="I12" s="22" t="n">
        <v>5482.41293012304</v>
      </c>
      <c r="J12" s="20" t="n">
        <v>10.7826081245388</v>
      </c>
    </row>
    <row r="13" customFormat="false" ht="15" hidden="false" customHeight="true" outlineLevel="0" collapsed="false">
      <c r="A13" s="17" t="s">
        <v>92</v>
      </c>
      <c r="B13" s="17" t="s">
        <v>93</v>
      </c>
      <c r="C13" s="18" t="n">
        <v>77.2315117597637</v>
      </c>
      <c r="D13" s="23" t="s">
        <v>79</v>
      </c>
      <c r="E13" s="20" t="n">
        <v>32.5128519130803</v>
      </c>
      <c r="F13" s="21" t="n">
        <v>39676.50244699</v>
      </c>
      <c r="G13" s="21" t="n">
        <v>30642.76265321</v>
      </c>
      <c r="H13" s="22" t="n">
        <v>5344.62355904235</v>
      </c>
      <c r="I13" s="22" t="n">
        <v>4127.73357251689</v>
      </c>
      <c r="J13" s="20" t="n">
        <v>9.0996400645351</v>
      </c>
    </row>
    <row r="14" customFormat="false" ht="15" hidden="false" customHeight="true" outlineLevel="0" collapsed="false">
      <c r="A14" s="17" t="s">
        <v>94</v>
      </c>
      <c r="B14" s="17" t="s">
        <v>95</v>
      </c>
      <c r="C14" s="18" t="n">
        <v>88.6451755117618</v>
      </c>
      <c r="D14" s="19" t="n">
        <v>0.540171053801419</v>
      </c>
      <c r="E14" s="20" t="n">
        <v>33.2262083928826</v>
      </c>
      <c r="F14" s="21" t="n">
        <v>17838.8096885</v>
      </c>
      <c r="G14" s="21" t="n">
        <v>15813.24415758</v>
      </c>
      <c r="H14" s="22" t="n">
        <v>2541.7887391103</v>
      </c>
      <c r="I14" s="22" t="n">
        <v>2253.17308892252</v>
      </c>
      <c r="J14" s="20" t="n">
        <v>10.5967576202046</v>
      </c>
    </row>
    <row r="15" customFormat="false" ht="15" hidden="false" customHeight="true" outlineLevel="0" collapsed="false">
      <c r="A15" s="17" t="s">
        <v>96</v>
      </c>
      <c r="B15" s="17" t="s">
        <v>97</v>
      </c>
      <c r="C15" s="18" t="n">
        <v>81.0731781738406</v>
      </c>
      <c r="D15" s="19" t="n">
        <v>0.0502419813944895</v>
      </c>
      <c r="E15" s="20" t="n">
        <v>43.7953679921303</v>
      </c>
      <c r="F15" s="21" t="n">
        <v>108201.8079127</v>
      </c>
      <c r="G15" s="21" t="n">
        <v>87722.64451638</v>
      </c>
      <c r="H15" s="22" t="n">
        <v>5057.7094125578</v>
      </c>
      <c r="I15" s="22" t="n">
        <v>4100.44576355809</v>
      </c>
      <c r="J15" s="20" t="n">
        <v>9.02517187008366</v>
      </c>
    </row>
    <row r="16" customFormat="false" ht="15" hidden="false" customHeight="true" outlineLevel="0" collapsed="false">
      <c r="A16" s="17" t="s">
        <v>98</v>
      </c>
      <c r="B16" s="17" t="s">
        <v>99</v>
      </c>
      <c r="C16" s="18" t="n">
        <v>90.7270997417629</v>
      </c>
      <c r="D16" s="23" t="s">
        <v>79</v>
      </c>
      <c r="E16" s="20" t="n">
        <v>14.8006072204549</v>
      </c>
      <c r="F16" s="21" t="n">
        <v>27804.6060063</v>
      </c>
      <c r="G16" s="21" t="n">
        <v>25226.31262414</v>
      </c>
      <c r="H16" s="22" t="n">
        <v>9507.04755789705</v>
      </c>
      <c r="I16" s="22" t="n">
        <v>8625.46852035009</v>
      </c>
      <c r="J16" s="20" t="n">
        <v>13.6800557920598</v>
      </c>
    </row>
    <row r="17" customFormat="false" ht="15" hidden="false" customHeight="true" outlineLevel="0" collapsed="false">
      <c r="A17" s="17" t="s">
        <v>100</v>
      </c>
      <c r="B17" s="17" t="s">
        <v>101</v>
      </c>
      <c r="C17" s="18" t="n">
        <v>90.3925543016139</v>
      </c>
      <c r="D17" s="23" t="s">
        <v>79</v>
      </c>
      <c r="E17" s="20" t="n">
        <v>28.4785844794336</v>
      </c>
      <c r="F17" s="21" t="n">
        <v>45571.42477449</v>
      </c>
      <c r="G17" s="21" t="n">
        <v>41193.1748853</v>
      </c>
      <c r="H17" s="22" t="n">
        <v>11704.010231633</v>
      </c>
      <c r="I17" s="22" t="n">
        <v>10579.5538040953</v>
      </c>
      <c r="J17" s="20" t="n">
        <v>15.0886005047841</v>
      </c>
    </row>
    <row r="18" customFormat="false" ht="15" hidden="false" customHeight="true" outlineLevel="0" collapsed="false">
      <c r="A18" s="17" t="s">
        <v>102</v>
      </c>
      <c r="B18" s="17" t="s">
        <v>103</v>
      </c>
      <c r="C18" s="18" t="n">
        <v>83.0781456045232</v>
      </c>
      <c r="D18" s="23" t="s">
        <v>79</v>
      </c>
      <c r="E18" s="20" t="n">
        <v>35.1265979549356</v>
      </c>
      <c r="F18" s="21" t="n">
        <v>30189.73567977</v>
      </c>
      <c r="G18" s="21" t="n">
        <v>25081.07256566</v>
      </c>
      <c r="H18" s="22" t="n">
        <v>3465.62466046798</v>
      </c>
      <c r="I18" s="22" t="n">
        <v>2879.17670152985</v>
      </c>
      <c r="J18" s="20" t="n">
        <v>9.85323761348275</v>
      </c>
    </row>
    <row r="19" customFormat="false" ht="15" hidden="false" customHeight="true" outlineLevel="0" collapsed="false">
      <c r="A19" s="17" t="s">
        <v>104</v>
      </c>
      <c r="B19" s="17" t="s">
        <v>105</v>
      </c>
      <c r="C19" s="18" t="n">
        <v>86.4670262016852</v>
      </c>
      <c r="D19" s="19" t="n">
        <v>0.0405255063570741</v>
      </c>
      <c r="E19" s="20" t="n">
        <v>15.1874359602077</v>
      </c>
      <c r="F19" s="21" t="n">
        <v>12209.74360296</v>
      </c>
      <c r="G19" s="21" t="n">
        <v>10557.40220033</v>
      </c>
      <c r="H19" s="22" t="n">
        <v>2931.8855620838</v>
      </c>
      <c r="I19" s="22" t="n">
        <v>2535.11425717042</v>
      </c>
      <c r="J19" s="20" t="n">
        <v>10.88805343803</v>
      </c>
    </row>
    <row r="20" customFormat="false" ht="15" hidden="false" customHeight="true" outlineLevel="0" collapsed="false">
      <c r="A20" s="17" t="s">
        <v>106</v>
      </c>
      <c r="B20" s="17" t="s">
        <v>107</v>
      </c>
      <c r="C20" s="18" t="n">
        <v>87.631868494034</v>
      </c>
      <c r="D20" s="19" t="n">
        <v>0.129196088742424</v>
      </c>
      <c r="E20" s="20" t="n">
        <v>18.3552652641702</v>
      </c>
      <c r="F20" s="21" t="n">
        <v>31792.28040091</v>
      </c>
      <c r="G20" s="21" t="n">
        <v>27860.16935218</v>
      </c>
      <c r="H20" s="22" t="n">
        <v>3324.85433245447</v>
      </c>
      <c r="I20" s="22" t="n">
        <v>2913.6319762347</v>
      </c>
      <c r="J20" s="20" t="n">
        <v>10.3004631465219</v>
      </c>
    </row>
    <row r="21" customFormat="false" ht="15" hidden="false" customHeight="true" outlineLevel="0" collapsed="false">
      <c r="A21" s="17" t="s">
        <v>108</v>
      </c>
      <c r="B21" s="17" t="s">
        <v>109</v>
      </c>
      <c r="C21" s="18" t="n">
        <v>85.9514574315417</v>
      </c>
      <c r="D21" s="23" t="s">
        <v>79</v>
      </c>
      <c r="E21" s="20" t="n">
        <v>14.0932619424248</v>
      </c>
      <c r="F21" s="21" t="n">
        <v>9869.87498677</v>
      </c>
      <c r="G21" s="21" t="n">
        <v>8483.3013978</v>
      </c>
      <c r="H21" s="22" t="n">
        <v>2916.1583475632</v>
      </c>
      <c r="I21" s="22" t="n">
        <v>2506.48060074214</v>
      </c>
      <c r="J21" s="20" t="n">
        <v>10.4839730770064</v>
      </c>
    </row>
    <row r="22" customFormat="false" ht="15" hidden="false" customHeight="true" outlineLevel="0" collapsed="false">
      <c r="A22" s="17" t="s">
        <v>110</v>
      </c>
      <c r="B22" s="17" t="s">
        <v>111</v>
      </c>
      <c r="C22" s="18" t="n">
        <v>85.1092970318676</v>
      </c>
      <c r="D22" s="19" t="n">
        <v>0.71409736371234</v>
      </c>
      <c r="E22" s="20" t="n">
        <v>18.8400719732745</v>
      </c>
      <c r="F22" s="21" t="n">
        <v>62981.82279541</v>
      </c>
      <c r="G22" s="21" t="n">
        <v>53603.38663903</v>
      </c>
      <c r="H22" s="22" t="n">
        <v>5296.81113070273</v>
      </c>
      <c r="I22" s="22" t="n">
        <v>4508.07871844681</v>
      </c>
      <c r="J22" s="20" t="n">
        <v>7.9895447432503</v>
      </c>
    </row>
    <row r="23" customFormat="false" ht="15" hidden="false" customHeight="true" outlineLevel="0" collapsed="false">
      <c r="A23" s="17" t="s">
        <v>112</v>
      </c>
      <c r="B23" s="17" t="s">
        <v>113</v>
      </c>
      <c r="C23" s="18" t="n">
        <v>82.9541039487973</v>
      </c>
      <c r="D23" s="23" t="s">
        <v>79</v>
      </c>
      <c r="E23" s="20" t="n">
        <v>16.3918702730757</v>
      </c>
      <c r="F23" s="21" t="n">
        <v>75230.90730273</v>
      </c>
      <c r="G23" s="21" t="n">
        <v>62407.12504553</v>
      </c>
      <c r="H23" s="22" t="n">
        <v>4367.91023955345</v>
      </c>
      <c r="I23" s="22" t="n">
        <v>3623.36080050933</v>
      </c>
      <c r="J23" s="20" t="n">
        <v>5.32088366700305</v>
      </c>
    </row>
    <row r="24" customFormat="false" ht="15" hidden="false" customHeight="true" outlineLevel="0" collapsed="false">
      <c r="A24" s="17" t="s">
        <v>114</v>
      </c>
      <c r="B24" s="17" t="s">
        <v>115</v>
      </c>
      <c r="C24" s="18" t="n">
        <v>87.2646740814327</v>
      </c>
      <c r="D24" s="19" t="n">
        <v>0.0380164974016855</v>
      </c>
      <c r="E24" s="20" t="n">
        <v>22.9854812515911</v>
      </c>
      <c r="F24" s="21" t="n">
        <v>10827.37382802</v>
      </c>
      <c r="G24" s="21" t="n">
        <v>9448.4724826</v>
      </c>
      <c r="H24" s="22" t="n">
        <v>3133.61339949572</v>
      </c>
      <c r="I24" s="22" t="n">
        <v>2734.53752004205</v>
      </c>
      <c r="J24" s="20" t="n">
        <v>9.28685565534396</v>
      </c>
    </row>
    <row r="25" customFormat="false" ht="15" hidden="false" customHeight="true" outlineLevel="0" collapsed="false">
      <c r="A25" s="17" t="s">
        <v>116</v>
      </c>
      <c r="B25" s="17" t="s">
        <v>117</v>
      </c>
      <c r="C25" s="18" t="n">
        <v>90.3677177221422</v>
      </c>
      <c r="D25" s="23" t="s">
        <v>79</v>
      </c>
      <c r="E25" s="20" t="n">
        <v>20.7166760854752</v>
      </c>
      <c r="F25" s="21" t="n">
        <v>9912.85729245</v>
      </c>
      <c r="G25" s="21" t="n">
        <v>8958.02289624</v>
      </c>
      <c r="H25" s="22" t="n">
        <v>5658.18504663375</v>
      </c>
      <c r="I25" s="22" t="n">
        <v>5113.17269113845</v>
      </c>
      <c r="J25" s="20" t="n">
        <v>11.7165453641621</v>
      </c>
    </row>
    <row r="26" customFormat="false" ht="15" hidden="false" customHeight="true" outlineLevel="0" collapsed="false">
      <c r="A26" s="17" t="s">
        <v>118</v>
      </c>
      <c r="B26" s="17" t="s">
        <v>119</v>
      </c>
      <c r="C26" s="18" t="n">
        <v>88.6530582924509</v>
      </c>
      <c r="D26" s="19" t="n">
        <v>1.02641648774142</v>
      </c>
      <c r="E26" s="20" t="n">
        <v>23.9521499453337</v>
      </c>
      <c r="F26" s="21" t="n">
        <v>2417.38224457</v>
      </c>
      <c r="G26" s="21" t="n">
        <v>2143.08329043</v>
      </c>
      <c r="H26" s="22" t="n">
        <v>3272.16278441793</v>
      </c>
      <c r="I26" s="22" t="n">
        <v>2900.87238069391</v>
      </c>
      <c r="J26" s="20" t="n">
        <v>8.52975093908191</v>
      </c>
    </row>
    <row r="27" customFormat="false" ht="15" hidden="false" customHeight="true" outlineLevel="0" collapsed="false">
      <c r="A27" s="17" t="s">
        <v>120</v>
      </c>
      <c r="B27" s="17" t="s">
        <v>121</v>
      </c>
      <c r="C27" s="18" t="n">
        <v>83.5001180503806</v>
      </c>
      <c r="D27" s="19" t="n">
        <v>0.0559744371556457</v>
      </c>
      <c r="E27" s="20" t="n">
        <v>9.71321184656504</v>
      </c>
      <c r="F27" s="21" t="n">
        <v>64616.28878809</v>
      </c>
      <c r="G27" s="21" t="n">
        <v>53954.67741783</v>
      </c>
      <c r="H27" s="22" t="n">
        <v>5752.22789567822</v>
      </c>
      <c r="I27" s="22" t="n">
        <v>4803.11708341824</v>
      </c>
      <c r="J27" s="20" t="n">
        <v>8.29935312063588</v>
      </c>
    </row>
    <row r="28" customFormat="false" ht="15" hidden="false" customHeight="true" outlineLevel="0" collapsed="false">
      <c r="A28" s="17" t="s">
        <v>122</v>
      </c>
      <c r="B28" s="17" t="s">
        <v>123</v>
      </c>
      <c r="C28" s="18" t="n">
        <v>84.9804731946986</v>
      </c>
      <c r="D28" s="19" t="n">
        <v>0.138746868597447</v>
      </c>
      <c r="E28" s="20" t="n">
        <v>22.8240527735521</v>
      </c>
      <c r="F28" s="21" t="n">
        <v>53154.00651958</v>
      </c>
      <c r="G28" s="21" t="n">
        <v>45170.52626228</v>
      </c>
      <c r="H28" s="22" t="n">
        <v>6492.4658895895</v>
      </c>
      <c r="I28" s="22" t="n">
        <v>5517.32823497755</v>
      </c>
      <c r="J28" s="20" t="n">
        <v>8.79843095598428</v>
      </c>
    </row>
    <row r="29" customFormat="false" ht="15" hidden="false" customHeight="true" outlineLevel="0" collapsed="false">
      <c r="A29" s="17" t="s">
        <v>124</v>
      </c>
      <c r="B29" s="17" t="s">
        <v>125</v>
      </c>
      <c r="C29" s="18" t="n">
        <v>84.2090724156477</v>
      </c>
      <c r="D29" s="23" t="s">
        <v>79</v>
      </c>
      <c r="E29" s="20" t="n">
        <v>25.1592475033782</v>
      </c>
      <c r="F29" s="21" t="n">
        <v>7239.56854715</v>
      </c>
      <c r="G29" s="21" t="n">
        <v>6096.37352045</v>
      </c>
      <c r="H29" s="22" t="n">
        <v>3148.42560516216</v>
      </c>
      <c r="I29" s="22" t="n">
        <v>2651.2599978038</v>
      </c>
      <c r="J29" s="20" t="n">
        <v>10.0241830445249</v>
      </c>
    </row>
    <row r="30" customFormat="false" ht="15" hidden="false" customHeight="true" outlineLevel="0" collapsed="false">
      <c r="A30" s="17" t="s">
        <v>126</v>
      </c>
      <c r="B30" s="17" t="s">
        <v>127</v>
      </c>
      <c r="C30" s="18" t="n">
        <v>81.6570878056172</v>
      </c>
      <c r="D30" s="19" t="n">
        <v>0.13644747268113</v>
      </c>
      <c r="E30" s="20" t="n">
        <v>22.7675928362135</v>
      </c>
      <c r="F30" s="21" t="n">
        <v>291537.73634901</v>
      </c>
      <c r="G30" s="21" t="n">
        <v>238061.22535702</v>
      </c>
      <c r="H30" s="22" t="n">
        <v>6326.52652505943</v>
      </c>
      <c r="I30" s="22" t="n">
        <v>5166.05731961344</v>
      </c>
      <c r="J30" s="20" t="n">
        <v>6.91071341083973</v>
      </c>
    </row>
    <row r="31" customFormat="false" ht="15" hidden="false" customHeight="true" outlineLevel="0" collapsed="false">
      <c r="A31" s="17" t="s">
        <v>128</v>
      </c>
      <c r="B31" s="17" t="s">
        <v>129</v>
      </c>
      <c r="C31" s="18" t="n">
        <v>88.4994743485238</v>
      </c>
      <c r="D31" s="19" t="n">
        <v>0.592694381868542</v>
      </c>
      <c r="E31" s="20" t="n">
        <v>26.7858399177638</v>
      </c>
      <c r="F31" s="21" t="n">
        <v>9862.37473784</v>
      </c>
      <c r="G31" s="21" t="n">
        <v>8728.14980127</v>
      </c>
      <c r="H31" s="22" t="n">
        <v>6215.02902138123</v>
      </c>
      <c r="I31" s="22" t="n">
        <v>5500.26801453059</v>
      </c>
      <c r="J31" s="20" t="n">
        <v>13.5703701111416</v>
      </c>
    </row>
    <row r="33" customFormat="false" ht="15" hidden="false" customHeight="true" outlineLevel="0" collapsed="false">
      <c r="C33" s="24" t="n">
        <f aca="false">AVERAGE(D5:D31)</f>
        <v>0.615147019997413</v>
      </c>
      <c r="E33" s="24" t="n">
        <f aca="false">AVERAGE(F5:F31)</f>
        <v>39199.6903958789</v>
      </c>
      <c r="H33" s="25" t="n">
        <f aca="false">AVERAGE(I5:I31)</f>
        <v>4045.07707325789</v>
      </c>
      <c r="I33" s="25" t="n">
        <f aca="false">AVERAGE(J5:J31)</f>
        <v>9.54651632147652</v>
      </c>
      <c r="J33" s="24" t="e">
        <f aca="false">AVERAGE(K5:K31)</f>
        <v>#DIV/0!</v>
      </c>
    </row>
    <row r="35" customFormat="false" ht="15" hidden="false" customHeight="true" outlineLevel="0" collapsed="false">
      <c r="A35" s="2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6.71"/>
    <col collapsed="false" customWidth="true" hidden="false" outlineLevel="0" max="7" min="4" style="1" width="11"/>
    <col collapsed="false" customWidth="true" hidden="false" outlineLevel="0" max="9" min="8" style="1" width="20"/>
    <col collapsed="false" customWidth="true" hidden="false" outlineLevel="0" max="10" min="10" style="1" width="19.14"/>
    <col collapsed="false" customWidth="true" hidden="false" outlineLevel="0" max="12" min="11" style="1" width="11"/>
    <col collapsed="false" customWidth="true" hidden="false" outlineLevel="0" max="14" min="13" style="1" width="20"/>
  </cols>
  <sheetData>
    <row r="1" customFormat="false" ht="24" hidden="false" customHeight="true" outlineLevel="0" collapsed="false">
      <c r="A1" s="27" t="s">
        <v>131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5.75" hidden="false" customHeight="true" outlineLevel="0" collapsed="false">
      <c r="A2" s="3" t="s">
        <v>132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42" hidden="false" customHeight="true" outlineLevel="0" collapsed="false">
      <c r="A4" s="16" t="s">
        <v>65</v>
      </c>
      <c r="B4" s="16" t="s">
        <v>66</v>
      </c>
      <c r="C4" s="16" t="s">
        <v>133</v>
      </c>
      <c r="D4" s="16" t="s">
        <v>71</v>
      </c>
      <c r="E4" s="16" t="s">
        <v>134</v>
      </c>
      <c r="F4" s="16" t="s">
        <v>135</v>
      </c>
      <c r="G4" s="16" t="s">
        <v>136</v>
      </c>
      <c r="H4" s="16" t="s">
        <v>137</v>
      </c>
      <c r="I4" s="16" t="s">
        <v>138</v>
      </c>
      <c r="J4" s="16" t="s">
        <v>139</v>
      </c>
      <c r="K4" s="16" t="s">
        <v>140</v>
      </c>
      <c r="L4" s="16" t="s">
        <v>141</v>
      </c>
      <c r="M4" s="16" t="s">
        <v>142</v>
      </c>
      <c r="N4" s="16" t="s">
        <v>143</v>
      </c>
    </row>
    <row r="5" customFormat="false" ht="15" hidden="false" customHeight="true" outlineLevel="0" collapsed="false">
      <c r="A5" s="17" t="s">
        <v>75</v>
      </c>
      <c r="B5" s="17" t="s">
        <v>76</v>
      </c>
      <c r="C5" s="21" t="n">
        <v>2535.98457114</v>
      </c>
      <c r="D5" s="21" t="n">
        <v>2220.30699818</v>
      </c>
      <c r="E5" s="21" t="n">
        <v>157.31286839</v>
      </c>
      <c r="F5" s="21" t="n">
        <v>9.55086561</v>
      </c>
      <c r="G5" s="21" t="n">
        <v>148.81383896</v>
      </c>
      <c r="H5" s="21" t="n">
        <v>3356.38123902</v>
      </c>
      <c r="I5" s="21" t="n">
        <v>77.46400009</v>
      </c>
      <c r="J5" s="21" t="n">
        <v>529.70742922</v>
      </c>
      <c r="K5" s="22" t="n">
        <v>884372</v>
      </c>
      <c r="L5" s="21" t="n">
        <v>26291.321</v>
      </c>
      <c r="M5" s="21" t="n">
        <v>1979.21201205</v>
      </c>
      <c r="N5" s="21" t="n">
        <v>0</v>
      </c>
    </row>
    <row r="6" customFormat="false" ht="15" hidden="false" customHeight="true" outlineLevel="0" collapsed="false">
      <c r="A6" s="17" t="s">
        <v>77</v>
      </c>
      <c r="B6" s="17" t="s">
        <v>78</v>
      </c>
      <c r="C6" s="21" t="n">
        <v>10090.42673899</v>
      </c>
      <c r="D6" s="21" t="n">
        <v>9027.97287136</v>
      </c>
      <c r="E6" s="21" t="n">
        <v>774.02961815</v>
      </c>
      <c r="F6" s="21" t="n">
        <v>72.71659707</v>
      </c>
      <c r="G6" s="21" t="n">
        <v>215.70765241</v>
      </c>
      <c r="H6" s="21" t="n">
        <v>11338.73540132</v>
      </c>
      <c r="I6" s="28" t="s">
        <v>79</v>
      </c>
      <c r="J6" s="21" t="n">
        <v>932.84022501</v>
      </c>
      <c r="K6" s="22" t="n">
        <v>3220848</v>
      </c>
      <c r="L6" s="21" t="n">
        <v>89688.932</v>
      </c>
      <c r="M6" s="21" t="n">
        <v>9236.17240535</v>
      </c>
      <c r="N6" s="21" t="n">
        <v>164.18775182</v>
      </c>
    </row>
    <row r="7" customFormat="false" ht="15" hidden="false" customHeight="true" outlineLevel="0" collapsed="false">
      <c r="A7" s="17" t="s">
        <v>80</v>
      </c>
      <c r="B7" s="17" t="s">
        <v>81</v>
      </c>
      <c r="C7" s="21" t="n">
        <v>18387.90697726</v>
      </c>
      <c r="D7" s="21" t="n">
        <v>16966.61851615</v>
      </c>
      <c r="E7" s="21" t="n">
        <v>1080.0995989</v>
      </c>
      <c r="F7" s="21" t="n">
        <v>57.20073696</v>
      </c>
      <c r="G7" s="21" t="n">
        <v>283.98812525</v>
      </c>
      <c r="H7" s="21" t="n">
        <v>20056.06910995</v>
      </c>
      <c r="I7" s="21" t="n">
        <v>5.55658535</v>
      </c>
      <c r="J7" s="21" t="n">
        <v>804.91166597</v>
      </c>
      <c r="K7" s="22" t="n">
        <v>4321616</v>
      </c>
      <c r="L7" s="21" t="n">
        <v>161794.976</v>
      </c>
      <c r="M7" s="21" t="n">
        <v>8348.27682318</v>
      </c>
      <c r="N7" s="21" t="n">
        <v>878.65926583</v>
      </c>
    </row>
    <row r="8" customFormat="false" ht="15" hidden="false" customHeight="true" outlineLevel="0" collapsed="false">
      <c r="A8" s="17" t="s">
        <v>82</v>
      </c>
      <c r="B8" s="17" t="s">
        <v>83</v>
      </c>
      <c r="C8" s="21" t="n">
        <v>1951.39521524</v>
      </c>
      <c r="D8" s="21" t="n">
        <v>1702.92983408</v>
      </c>
      <c r="E8" s="21" t="n">
        <v>148.87400982</v>
      </c>
      <c r="F8" s="21" t="n">
        <v>3.80475315</v>
      </c>
      <c r="G8" s="21" t="n">
        <v>95.78661819</v>
      </c>
      <c r="H8" s="21" t="n">
        <v>2744.9038426</v>
      </c>
      <c r="I8" s="21" t="n">
        <v>36.37996896</v>
      </c>
      <c r="J8" s="21" t="n">
        <v>1062.71985517</v>
      </c>
      <c r="K8" s="22" t="n">
        <v>806517</v>
      </c>
      <c r="L8" s="21" t="n">
        <v>28020.12</v>
      </c>
      <c r="M8" s="21" t="n">
        <v>335.4086888</v>
      </c>
      <c r="N8" s="21" t="n">
        <v>0</v>
      </c>
    </row>
    <row r="9" customFormat="false" ht="15" hidden="false" customHeight="true" outlineLevel="0" collapsed="false">
      <c r="A9" s="17" t="s">
        <v>84</v>
      </c>
      <c r="B9" s="17" t="s">
        <v>85</v>
      </c>
      <c r="C9" s="21" t="n">
        <v>47874.59291986</v>
      </c>
      <c r="D9" s="21" t="n">
        <v>42002.55090375</v>
      </c>
      <c r="E9" s="21" t="n">
        <v>2757.88051233</v>
      </c>
      <c r="F9" s="21" t="n">
        <v>388.15559072</v>
      </c>
      <c r="G9" s="21" t="n">
        <v>2726.00591306</v>
      </c>
      <c r="H9" s="21" t="n">
        <v>52595.25590949</v>
      </c>
      <c r="I9" s="28" t="s">
        <v>79</v>
      </c>
      <c r="J9" s="21" t="n">
        <v>2103.04850526</v>
      </c>
      <c r="K9" s="22" t="n">
        <v>14870907</v>
      </c>
      <c r="L9" s="21" t="n">
        <v>430987.853</v>
      </c>
      <c r="M9" s="21" t="n">
        <v>33239.84030566</v>
      </c>
      <c r="N9" s="21" t="n">
        <v>937.09798767</v>
      </c>
    </row>
    <row r="10" customFormat="false" ht="15" hidden="false" customHeight="true" outlineLevel="0" collapsed="false">
      <c r="A10" s="17" t="s">
        <v>86</v>
      </c>
      <c r="B10" s="17" t="s">
        <v>87</v>
      </c>
      <c r="C10" s="21" t="n">
        <v>25436.18702396</v>
      </c>
      <c r="D10" s="21" t="n">
        <v>21469.98598943</v>
      </c>
      <c r="E10" s="21" t="n">
        <v>2160.46323472</v>
      </c>
      <c r="F10" s="21" t="n">
        <v>248.44505733</v>
      </c>
      <c r="G10" s="21" t="n">
        <v>1557.29274248</v>
      </c>
      <c r="H10" s="21" t="n">
        <v>28281.67904862</v>
      </c>
      <c r="I10" s="28" t="s">
        <v>79</v>
      </c>
      <c r="J10" s="21" t="n">
        <v>1689.30413472</v>
      </c>
      <c r="K10" s="22" t="n">
        <v>9268836</v>
      </c>
      <c r="L10" s="21" t="n">
        <v>232239.257</v>
      </c>
      <c r="M10" s="21" t="n">
        <v>20337.65928896</v>
      </c>
      <c r="N10" s="21" t="n">
        <v>646.28204821</v>
      </c>
    </row>
    <row r="11" customFormat="false" ht="15" hidden="false" customHeight="true" outlineLevel="0" collapsed="false">
      <c r="A11" s="17" t="s">
        <v>88</v>
      </c>
      <c r="B11" s="17" t="s">
        <v>89</v>
      </c>
      <c r="C11" s="21" t="n">
        <v>15670.08872796</v>
      </c>
      <c r="D11" s="21" t="n">
        <v>12598.84931108</v>
      </c>
      <c r="E11" s="21" t="n">
        <v>1980.57560208</v>
      </c>
      <c r="F11" s="21" t="n">
        <v>397.91279392</v>
      </c>
      <c r="G11" s="21" t="n">
        <v>609.77425904</v>
      </c>
      <c r="H11" s="21" t="n">
        <v>27036.70958104</v>
      </c>
      <c r="I11" s="21" t="n">
        <v>127.79900915</v>
      </c>
      <c r="J11" s="21" t="n">
        <v>3802.34695877</v>
      </c>
      <c r="K11" s="22" t="n">
        <v>2996899</v>
      </c>
      <c r="L11" s="21" t="n">
        <v>365669.108</v>
      </c>
      <c r="M11" s="21" t="n">
        <v>6911.64898173</v>
      </c>
      <c r="N11" s="21" t="n">
        <v>36.97088303</v>
      </c>
    </row>
    <row r="12" customFormat="false" ht="15" hidden="false" customHeight="true" outlineLevel="0" collapsed="false">
      <c r="A12" s="17" t="s">
        <v>90</v>
      </c>
      <c r="B12" s="17" t="s">
        <v>91</v>
      </c>
      <c r="C12" s="21" t="n">
        <v>25509.95461008</v>
      </c>
      <c r="D12" s="21" t="n">
        <v>22625.11773033</v>
      </c>
      <c r="E12" s="21" t="n">
        <v>1355.5218485</v>
      </c>
      <c r="F12" s="21" t="n">
        <v>241.33870701</v>
      </c>
      <c r="G12" s="21" t="n">
        <v>1287.97632424</v>
      </c>
      <c r="H12" s="21" t="n">
        <v>27139.39617028</v>
      </c>
      <c r="I12" s="28" t="s">
        <v>79</v>
      </c>
      <c r="J12" s="21" t="n">
        <v>1018.42036617</v>
      </c>
      <c r="K12" s="22" t="n">
        <v>4126854</v>
      </c>
      <c r="L12" s="21" t="n">
        <v>209829.732</v>
      </c>
      <c r="M12" s="21" t="n">
        <v>36389.36471606</v>
      </c>
      <c r="N12" s="21" t="n">
        <v>159.66808287</v>
      </c>
    </row>
    <row r="13" customFormat="false" ht="15" hidden="false" customHeight="true" outlineLevel="0" collapsed="false">
      <c r="A13" s="17" t="s">
        <v>92</v>
      </c>
      <c r="B13" s="17" t="s">
        <v>93</v>
      </c>
      <c r="C13" s="21" t="n">
        <v>39676.50244699</v>
      </c>
      <c r="D13" s="21" t="n">
        <v>30642.76265321</v>
      </c>
      <c r="E13" s="21" t="n">
        <v>3548.05424991</v>
      </c>
      <c r="F13" s="21" t="n">
        <v>926.4282701</v>
      </c>
      <c r="G13" s="21" t="n">
        <v>4559.25727377</v>
      </c>
      <c r="H13" s="21" t="n">
        <v>43115.09289225</v>
      </c>
      <c r="I13" s="28" t="s">
        <v>79</v>
      </c>
      <c r="J13" s="21" t="n">
        <v>2716.38453273</v>
      </c>
      <c r="K13" s="22" t="n">
        <v>7423629</v>
      </c>
      <c r="L13" s="21" t="n">
        <v>336746.975</v>
      </c>
      <c r="M13" s="21" t="n">
        <v>43521.48744899</v>
      </c>
      <c r="N13" s="21" t="n">
        <v>1149.37283965</v>
      </c>
    </row>
    <row r="14" customFormat="false" ht="15" hidden="false" customHeight="true" outlineLevel="0" collapsed="false">
      <c r="A14" s="17" t="s">
        <v>94</v>
      </c>
      <c r="B14" s="17" t="s">
        <v>95</v>
      </c>
      <c r="C14" s="21" t="n">
        <v>17838.8096885</v>
      </c>
      <c r="D14" s="21" t="n">
        <v>15813.24415758</v>
      </c>
      <c r="E14" s="21" t="n">
        <v>1103.49916699</v>
      </c>
      <c r="F14" s="21" t="n">
        <v>99.25689301</v>
      </c>
      <c r="G14" s="21" t="n">
        <v>822.80947092</v>
      </c>
      <c r="H14" s="21" t="n">
        <v>19451.32724058</v>
      </c>
      <c r="I14" s="21" t="n">
        <v>96.36008628</v>
      </c>
      <c r="J14" s="21" t="n">
        <v>2388.46566007</v>
      </c>
      <c r="K14" s="22" t="n">
        <v>7018211</v>
      </c>
      <c r="L14" s="21" t="n">
        <v>149227.195</v>
      </c>
      <c r="M14" s="21" t="n">
        <v>11281.41174902</v>
      </c>
      <c r="N14" s="21" t="n">
        <v>430.2396075</v>
      </c>
    </row>
    <row r="15" customFormat="false" ht="15" hidden="false" customHeight="true" outlineLevel="0" collapsed="false">
      <c r="A15" s="17" t="s">
        <v>96</v>
      </c>
      <c r="B15" s="17" t="s">
        <v>97</v>
      </c>
      <c r="C15" s="21" t="n">
        <v>108201.8079127</v>
      </c>
      <c r="D15" s="21" t="n">
        <v>87722.64451638</v>
      </c>
      <c r="E15" s="21" t="n">
        <v>12952.30321353</v>
      </c>
      <c r="F15" s="21" t="n">
        <v>2258.91694265</v>
      </c>
      <c r="G15" s="21" t="n">
        <v>5267.94324014</v>
      </c>
      <c r="H15" s="21" t="n">
        <v>116530.78270702</v>
      </c>
      <c r="I15" s="21" t="n">
        <v>54.3627322</v>
      </c>
      <c r="J15" s="21" t="n">
        <v>4932.45234802</v>
      </c>
      <c r="K15" s="22" t="n">
        <v>21393441</v>
      </c>
      <c r="L15" s="21" t="n">
        <v>971977.551</v>
      </c>
      <c r="M15" s="21" t="n">
        <v>105834.9090556</v>
      </c>
      <c r="N15" s="21" t="n">
        <v>2121.218109</v>
      </c>
    </row>
    <row r="16" customFormat="false" ht="15" hidden="false" customHeight="true" outlineLevel="0" collapsed="false">
      <c r="A16" s="17" t="s">
        <v>98</v>
      </c>
      <c r="B16" s="17" t="s">
        <v>99</v>
      </c>
      <c r="C16" s="21" t="n">
        <v>27804.6060063</v>
      </c>
      <c r="D16" s="21" t="n">
        <v>25226.31262414</v>
      </c>
      <c r="E16" s="21" t="n">
        <v>1280.07976481</v>
      </c>
      <c r="F16" s="21" t="n">
        <v>763.48228805</v>
      </c>
      <c r="G16" s="21" t="n">
        <v>534.7313293</v>
      </c>
      <c r="H16" s="21" t="n">
        <v>29674.51890741</v>
      </c>
      <c r="I16" s="28" t="s">
        <v>79</v>
      </c>
      <c r="J16" s="21" t="n">
        <v>1601.66971646</v>
      </c>
      <c r="K16" s="22" t="n">
        <v>2924631</v>
      </c>
      <c r="L16" s="21" t="n">
        <v>184402.118</v>
      </c>
      <c r="M16" s="21" t="n">
        <v>15684.48447782</v>
      </c>
      <c r="N16" s="21" t="n">
        <v>560.32602888</v>
      </c>
    </row>
    <row r="17" customFormat="false" ht="15" hidden="false" customHeight="true" outlineLevel="0" collapsed="false">
      <c r="A17" s="17" t="s">
        <v>100</v>
      </c>
      <c r="B17" s="17" t="s">
        <v>101</v>
      </c>
      <c r="C17" s="21" t="n">
        <v>45571.42477449</v>
      </c>
      <c r="D17" s="21" t="n">
        <v>41193.1748853</v>
      </c>
      <c r="E17" s="21" t="n">
        <v>2408.83749711</v>
      </c>
      <c r="F17" s="21" t="n">
        <v>474.86637957</v>
      </c>
      <c r="G17" s="21" t="n">
        <v>1494.54601251</v>
      </c>
      <c r="H17" s="21" t="n">
        <v>47970.97482299</v>
      </c>
      <c r="I17" s="28" t="s">
        <v>79</v>
      </c>
      <c r="J17" s="21" t="n">
        <v>2936.15255232</v>
      </c>
      <c r="K17" s="22" t="n">
        <v>3893659</v>
      </c>
      <c r="L17" s="21" t="n">
        <v>273008.586</v>
      </c>
      <c r="M17" s="21" t="n">
        <v>33026.22470697</v>
      </c>
      <c r="N17" s="21" t="n">
        <v>105.0750867</v>
      </c>
    </row>
    <row r="18" customFormat="false" ht="15" hidden="false" customHeight="true" outlineLevel="0" collapsed="false">
      <c r="A18" s="17" t="s">
        <v>102</v>
      </c>
      <c r="B18" s="17" t="s">
        <v>103</v>
      </c>
      <c r="C18" s="21" t="n">
        <v>30189.73567977</v>
      </c>
      <c r="D18" s="21" t="n">
        <v>25081.07256566</v>
      </c>
      <c r="E18" s="21" t="n">
        <v>1483.54314774</v>
      </c>
      <c r="F18" s="21" t="n">
        <v>85.33612012</v>
      </c>
      <c r="G18" s="21" t="n">
        <v>3539.78384625</v>
      </c>
      <c r="H18" s="21" t="n">
        <v>33483.60930518</v>
      </c>
      <c r="I18" s="28" t="s">
        <v>79</v>
      </c>
      <c r="J18" s="21" t="n">
        <v>1594.46132424</v>
      </c>
      <c r="K18" s="22" t="n">
        <v>8711196</v>
      </c>
      <c r="L18" s="21" t="n">
        <v>254546.511</v>
      </c>
      <c r="M18" s="21" t="n">
        <v>50289.57695002</v>
      </c>
      <c r="N18" s="21" t="n">
        <v>48.180493</v>
      </c>
    </row>
    <row r="19" customFormat="false" ht="15" hidden="false" customHeight="true" outlineLevel="0" collapsed="false">
      <c r="A19" s="17" t="s">
        <v>104</v>
      </c>
      <c r="B19" s="17" t="s">
        <v>105</v>
      </c>
      <c r="C19" s="21" t="n">
        <v>12209.74360296</v>
      </c>
      <c r="D19" s="21" t="n">
        <v>10557.40220033</v>
      </c>
      <c r="E19" s="21" t="n">
        <v>789.84303291</v>
      </c>
      <c r="F19" s="21" t="n">
        <v>71.1741477</v>
      </c>
      <c r="G19" s="21" t="n">
        <v>791.32422202</v>
      </c>
      <c r="H19" s="21" t="n">
        <v>13559.01543525</v>
      </c>
      <c r="I19" s="21" t="n">
        <v>4.94806042</v>
      </c>
      <c r="J19" s="21" t="n">
        <v>951.80431817</v>
      </c>
      <c r="K19" s="22" t="n">
        <v>4164468</v>
      </c>
      <c r="L19" s="21" t="n">
        <v>96963.174</v>
      </c>
      <c r="M19" s="21" t="n">
        <v>17125.70945821</v>
      </c>
      <c r="N19" s="21" t="n">
        <v>308.68045878</v>
      </c>
    </row>
    <row r="20" customFormat="false" ht="15" hidden="false" customHeight="true" outlineLevel="0" collapsed="false">
      <c r="A20" s="17" t="s">
        <v>106</v>
      </c>
      <c r="B20" s="17" t="s">
        <v>107</v>
      </c>
      <c r="C20" s="21" t="n">
        <v>31792.28040091</v>
      </c>
      <c r="D20" s="21" t="n">
        <v>27860.16935218</v>
      </c>
      <c r="E20" s="21" t="n">
        <v>2015.13817544</v>
      </c>
      <c r="F20" s="21" t="n">
        <v>208.65280462</v>
      </c>
      <c r="G20" s="21" t="n">
        <v>1708.32006867</v>
      </c>
      <c r="H20" s="21" t="n">
        <v>35177.68875426</v>
      </c>
      <c r="I20" s="21" t="n">
        <v>41.0743828</v>
      </c>
      <c r="J20" s="21" t="n">
        <v>2097.34760498</v>
      </c>
      <c r="K20" s="22" t="n">
        <v>9562007</v>
      </c>
      <c r="L20" s="21" t="n">
        <v>270474.919</v>
      </c>
      <c r="M20" s="21" t="n">
        <v>23992.7839207</v>
      </c>
      <c r="N20" s="21" t="n">
        <v>0</v>
      </c>
    </row>
    <row r="21" customFormat="false" ht="15" hidden="false" customHeight="true" outlineLevel="0" collapsed="false">
      <c r="A21" s="17" t="s">
        <v>108</v>
      </c>
      <c r="B21" s="17" t="s">
        <v>109</v>
      </c>
      <c r="C21" s="21" t="n">
        <v>9869.87498677</v>
      </c>
      <c r="D21" s="21" t="n">
        <v>8483.3013978</v>
      </c>
      <c r="E21" s="21" t="n">
        <v>599.29551807</v>
      </c>
      <c r="F21" s="21" t="n">
        <v>40.34529488</v>
      </c>
      <c r="G21" s="21" t="n">
        <v>746.93277602</v>
      </c>
      <c r="H21" s="21" t="n">
        <v>10885.96820477</v>
      </c>
      <c r="I21" s="28" t="s">
        <v>79</v>
      </c>
      <c r="J21" s="21" t="n">
        <v>1218.63949619</v>
      </c>
      <c r="K21" s="22" t="n">
        <v>3384547</v>
      </c>
      <c r="L21" s="21" t="n">
        <v>80916.856</v>
      </c>
      <c r="M21" s="21" t="n">
        <v>5226.98514104</v>
      </c>
      <c r="N21" s="21" t="n">
        <v>3.69076698</v>
      </c>
    </row>
    <row r="22" customFormat="false" ht="15" hidden="false" customHeight="true" outlineLevel="0" collapsed="false">
      <c r="A22" s="17" t="s">
        <v>110</v>
      </c>
      <c r="B22" s="17" t="s">
        <v>111</v>
      </c>
      <c r="C22" s="21" t="n">
        <v>62981.82279541</v>
      </c>
      <c r="D22" s="21" t="n">
        <v>53603.38663903</v>
      </c>
      <c r="E22" s="21" t="n">
        <v>7376.82995052</v>
      </c>
      <c r="F22" s="21" t="n">
        <v>1627.84590164</v>
      </c>
      <c r="G22" s="21" t="n">
        <v>373.76030422</v>
      </c>
      <c r="H22" s="21" t="n">
        <v>68015.40714773</v>
      </c>
      <c r="I22" s="21" t="n">
        <v>449.7515362</v>
      </c>
      <c r="J22" s="21" t="n">
        <v>2228.06892184</v>
      </c>
      <c r="K22" s="22" t="n">
        <v>11890517</v>
      </c>
      <c r="L22" s="21" t="n">
        <v>670919.162</v>
      </c>
      <c r="M22" s="21" t="n">
        <v>56668.106497</v>
      </c>
      <c r="N22" s="21" t="n">
        <v>13988.90096711</v>
      </c>
    </row>
    <row r="23" customFormat="false" ht="15" hidden="false" customHeight="true" outlineLevel="0" collapsed="false">
      <c r="A23" s="17" t="s">
        <v>112</v>
      </c>
      <c r="B23" s="17" t="s">
        <v>113</v>
      </c>
      <c r="C23" s="21" t="n">
        <v>75230.90730273</v>
      </c>
      <c r="D23" s="21" t="n">
        <v>62407.12504553</v>
      </c>
      <c r="E23" s="21" t="n">
        <v>5520.44537622</v>
      </c>
      <c r="F23" s="21" t="n">
        <v>1883.49629772</v>
      </c>
      <c r="G23" s="21" t="n">
        <v>5419.84058326</v>
      </c>
      <c r="H23" s="21" t="n">
        <v>83767.58304889</v>
      </c>
      <c r="I23" s="28" t="s">
        <v>79</v>
      </c>
      <c r="J23" s="21" t="n">
        <v>6405.68460418</v>
      </c>
      <c r="K23" s="22" t="n">
        <v>17223547</v>
      </c>
      <c r="L23" s="21" t="n">
        <v>1172871.443</v>
      </c>
      <c r="M23" s="21" t="n">
        <v>167824.11212498</v>
      </c>
      <c r="N23" s="21" t="n">
        <v>600.35041395</v>
      </c>
    </row>
    <row r="24" customFormat="false" ht="15" hidden="false" customHeight="true" outlineLevel="0" collapsed="false">
      <c r="A24" s="17" t="s">
        <v>114</v>
      </c>
      <c r="B24" s="17" t="s">
        <v>115</v>
      </c>
      <c r="C24" s="21" t="n">
        <v>10827.37382802</v>
      </c>
      <c r="D24" s="21" t="n">
        <v>9448.4724826</v>
      </c>
      <c r="E24" s="21" t="n">
        <v>665.15968208</v>
      </c>
      <c r="F24" s="21" t="n">
        <v>46.29465223</v>
      </c>
      <c r="G24" s="21" t="n">
        <v>667.44701111</v>
      </c>
      <c r="H24" s="21" t="n">
        <v>12638.13885374</v>
      </c>
      <c r="I24" s="21" t="n">
        <v>4.11618829</v>
      </c>
      <c r="J24" s="21" t="n">
        <v>651.08726764</v>
      </c>
      <c r="K24" s="22" t="n">
        <v>3455236</v>
      </c>
      <c r="L24" s="21" t="n">
        <v>101740.275</v>
      </c>
      <c r="M24" s="21" t="n">
        <v>10795.24776189</v>
      </c>
      <c r="N24" s="21" t="n">
        <v>0</v>
      </c>
    </row>
    <row r="25" customFormat="false" ht="15" hidden="false" customHeight="true" outlineLevel="0" collapsed="false">
      <c r="A25" s="17" t="s">
        <v>116</v>
      </c>
      <c r="B25" s="17" t="s">
        <v>117</v>
      </c>
      <c r="C25" s="21" t="n">
        <v>9912.85729245</v>
      </c>
      <c r="D25" s="21" t="n">
        <v>8958.02289624</v>
      </c>
      <c r="E25" s="21" t="n">
        <v>649.09579976</v>
      </c>
      <c r="F25" s="21" t="n">
        <v>45.80602654</v>
      </c>
      <c r="G25" s="21" t="n">
        <v>259.93256991</v>
      </c>
      <c r="H25" s="21" t="n">
        <v>11016.573483</v>
      </c>
      <c r="I25" s="28" t="s">
        <v>79</v>
      </c>
      <c r="J25" s="21" t="n">
        <v>862.94497941</v>
      </c>
      <c r="K25" s="22" t="n">
        <v>1751950</v>
      </c>
      <c r="L25" s="21" t="n">
        <v>76456.179</v>
      </c>
      <c r="M25" s="21" t="n">
        <v>9428.95179843</v>
      </c>
      <c r="N25" s="21" t="n">
        <v>189.56417534</v>
      </c>
    </row>
    <row r="26" customFormat="false" ht="15" hidden="false" customHeight="true" outlineLevel="0" collapsed="false">
      <c r="A26" s="17" t="s">
        <v>118</v>
      </c>
      <c r="B26" s="17" t="s">
        <v>119</v>
      </c>
      <c r="C26" s="21" t="n">
        <v>2417.38224457</v>
      </c>
      <c r="D26" s="21" t="n">
        <v>2143.08329043</v>
      </c>
      <c r="E26" s="21" t="n">
        <v>139.34559198</v>
      </c>
      <c r="F26" s="21" t="n">
        <v>7.25539156</v>
      </c>
      <c r="G26" s="21" t="n">
        <v>127.6979706</v>
      </c>
      <c r="H26" s="21" t="n">
        <v>3072.98524237</v>
      </c>
      <c r="I26" s="21" t="n">
        <v>24.81240993</v>
      </c>
      <c r="J26" s="21" t="n">
        <v>538.50834836</v>
      </c>
      <c r="K26" s="22" t="n">
        <v>738772</v>
      </c>
      <c r="L26" s="21" t="n">
        <v>25124.805</v>
      </c>
      <c r="M26" s="21" t="n">
        <v>491.60692626</v>
      </c>
      <c r="N26" s="21" t="n">
        <v>111.38745252</v>
      </c>
    </row>
    <row r="27" customFormat="false" ht="15" hidden="false" customHeight="true" outlineLevel="0" collapsed="false">
      <c r="A27" s="17" t="s">
        <v>120</v>
      </c>
      <c r="B27" s="17" t="s">
        <v>121</v>
      </c>
      <c r="C27" s="21" t="n">
        <v>64616.28878809</v>
      </c>
      <c r="D27" s="21" t="n">
        <v>53954.67741783</v>
      </c>
      <c r="E27" s="21" t="n">
        <v>5905.57215613</v>
      </c>
      <c r="F27" s="21" t="n">
        <v>1776.57504662</v>
      </c>
      <c r="G27" s="21" t="n">
        <v>2979.46416751</v>
      </c>
      <c r="H27" s="21" t="n">
        <v>69049.42327419</v>
      </c>
      <c r="I27" s="21" t="n">
        <v>36.16860396</v>
      </c>
      <c r="J27" s="21" t="n">
        <v>2201.55500084</v>
      </c>
      <c r="K27" s="22" t="n">
        <v>11233263</v>
      </c>
      <c r="L27" s="21" t="n">
        <v>650107.022</v>
      </c>
      <c r="M27" s="21" t="n">
        <v>48074.41606771</v>
      </c>
      <c r="N27" s="21" t="n">
        <v>1168.09955642</v>
      </c>
    </row>
    <row r="28" customFormat="false" ht="15" hidden="false" customHeight="true" outlineLevel="0" collapsed="false">
      <c r="A28" s="17" t="s">
        <v>122</v>
      </c>
      <c r="B28" s="17" t="s">
        <v>123</v>
      </c>
      <c r="C28" s="21" t="n">
        <v>53154.00651958</v>
      </c>
      <c r="D28" s="21" t="n">
        <v>45170.52626228</v>
      </c>
      <c r="E28" s="21" t="n">
        <v>4534.40179719</v>
      </c>
      <c r="F28" s="21" t="n">
        <v>1091.36818513</v>
      </c>
      <c r="G28" s="21" t="n">
        <v>2357.71027498</v>
      </c>
      <c r="H28" s="21" t="n">
        <v>56495.80187175</v>
      </c>
      <c r="I28" s="21" t="n">
        <v>73.74951958</v>
      </c>
      <c r="J28" s="21" t="n">
        <v>3369.32321332</v>
      </c>
      <c r="K28" s="22" t="n">
        <v>8187029</v>
      </c>
      <c r="L28" s="21" t="n">
        <v>513392.973</v>
      </c>
      <c r="M28" s="21" t="n">
        <v>34645.45676774</v>
      </c>
      <c r="N28" s="21" t="n">
        <v>0</v>
      </c>
    </row>
    <row r="29" customFormat="false" ht="15" hidden="false" customHeight="true" outlineLevel="0" collapsed="false">
      <c r="A29" s="17" t="s">
        <v>124</v>
      </c>
      <c r="B29" s="17" t="s">
        <v>125</v>
      </c>
      <c r="C29" s="21" t="n">
        <v>7239.56854715</v>
      </c>
      <c r="D29" s="21" t="n">
        <v>6096.37352045</v>
      </c>
      <c r="E29" s="21" t="n">
        <v>530.9194854</v>
      </c>
      <c r="F29" s="21" t="n">
        <v>70.63638047</v>
      </c>
      <c r="G29" s="21" t="n">
        <v>541.63916083</v>
      </c>
      <c r="H29" s="21" t="n">
        <v>8355.66442672</v>
      </c>
      <c r="I29" s="28" t="s">
        <v>79</v>
      </c>
      <c r="J29" s="21" t="n">
        <v>1623.19690381</v>
      </c>
      <c r="K29" s="22" t="n">
        <v>2299425</v>
      </c>
      <c r="L29" s="21" t="n">
        <v>60816.662</v>
      </c>
      <c r="M29" s="21" t="n">
        <v>12066.02251112</v>
      </c>
      <c r="N29" s="21" t="n">
        <v>34.694225</v>
      </c>
    </row>
    <row r="30" customFormat="false" ht="15" hidden="false" customHeight="true" outlineLevel="0" collapsed="false">
      <c r="A30" s="17" t="s">
        <v>126</v>
      </c>
      <c r="B30" s="17" t="s">
        <v>127</v>
      </c>
      <c r="C30" s="21" t="n">
        <v>291537.73634901</v>
      </c>
      <c r="D30" s="21" t="n">
        <v>238061.22535702</v>
      </c>
      <c r="E30" s="21" t="n">
        <v>31876.94792741</v>
      </c>
      <c r="F30" s="21" t="n">
        <v>7356.3234538</v>
      </c>
      <c r="G30" s="21" t="n">
        <v>14243.23961078</v>
      </c>
      <c r="H30" s="21" t="n">
        <v>308817.7660331</v>
      </c>
      <c r="I30" s="21" t="n">
        <v>397.79587316</v>
      </c>
      <c r="J30" s="21" t="n">
        <v>8906.5960813</v>
      </c>
      <c r="K30" s="22" t="n">
        <v>46081801</v>
      </c>
      <c r="L30" s="21" t="n">
        <v>3444814.033</v>
      </c>
      <c r="M30" s="21" t="n">
        <v>444288.37727728</v>
      </c>
      <c r="N30" s="21" t="n">
        <v>12103.26880127</v>
      </c>
    </row>
    <row r="31" customFormat="false" ht="15" hidden="false" customHeight="true" outlineLevel="0" collapsed="false">
      <c r="A31" s="17" t="s">
        <v>128</v>
      </c>
      <c r="B31" s="17" t="s">
        <v>129</v>
      </c>
      <c r="C31" s="21" t="n">
        <v>9862.37473784</v>
      </c>
      <c r="D31" s="21" t="n">
        <v>8728.14980127</v>
      </c>
      <c r="E31" s="21" t="n">
        <v>628.75385181</v>
      </c>
      <c r="F31" s="21" t="n">
        <v>105.88109639</v>
      </c>
      <c r="G31" s="21" t="n">
        <v>399.58998837</v>
      </c>
      <c r="H31" s="21" t="n">
        <v>11161.96656118</v>
      </c>
      <c r="I31" s="21" t="n">
        <v>58.45374099</v>
      </c>
      <c r="J31" s="21" t="n">
        <v>997.41168463</v>
      </c>
      <c r="K31" s="22" t="n">
        <v>1586859</v>
      </c>
      <c r="L31" s="21" t="n">
        <v>64317.699</v>
      </c>
      <c r="M31" s="21" t="n">
        <v>12180.93698539</v>
      </c>
      <c r="N31" s="21" t="n"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7" min="6" style="1" width="24"/>
  </cols>
  <sheetData>
    <row r="1" customFormat="false" ht="24" hidden="false" customHeight="true" outlineLevel="0" collapsed="false">
      <c r="A1" s="14" t="s">
        <v>144</v>
      </c>
    </row>
    <row r="2" customFormat="false" ht="15.75" hidden="false" customHeight="true" outlineLevel="0" collapsed="false">
      <c r="A2" s="15" t="s">
        <v>145</v>
      </c>
    </row>
    <row r="4" customFormat="false" ht="31.5" hidden="false" customHeight="true" outlineLevel="0" collapsed="false">
      <c r="A4" s="16" t="s">
        <v>146</v>
      </c>
      <c r="B4" s="16" t="s">
        <v>147</v>
      </c>
      <c r="C4" s="16" t="s">
        <v>148</v>
      </c>
      <c r="D4" s="16" t="s">
        <v>149</v>
      </c>
      <c r="E4" s="16" t="s">
        <v>150</v>
      </c>
      <c r="F4" s="16" t="s">
        <v>151</v>
      </c>
      <c r="G4" s="16" t="s">
        <v>152</v>
      </c>
    </row>
    <row r="5" customFormat="false" ht="15" hidden="false" customHeight="true" outlineLevel="0" collapsed="false">
      <c r="A5" s="17" t="s">
        <v>153</v>
      </c>
      <c r="B5" s="17" t="s">
        <v>154</v>
      </c>
      <c r="C5" s="20" t="n">
        <v>93.0031747087292</v>
      </c>
      <c r="D5" s="20" t="n">
        <v>87.5520704442577</v>
      </c>
      <c r="E5" s="29" t="n">
        <v>-5.45110426447148</v>
      </c>
      <c r="F5" s="21" t="n">
        <v>2387.17073168</v>
      </c>
      <c r="G5" s="21" t="n">
        <v>2535.98457114</v>
      </c>
    </row>
    <row r="6" customFormat="false" ht="15" hidden="false" customHeight="true" outlineLevel="0" collapsed="false">
      <c r="A6" s="17" t="s">
        <v>155</v>
      </c>
      <c r="B6" s="17" t="s">
        <v>154</v>
      </c>
      <c r="C6" s="20" t="n">
        <v>88.7113850434065</v>
      </c>
      <c r="D6" s="20" t="n">
        <v>87.7345337934475</v>
      </c>
      <c r="E6" s="18" t="n">
        <v>-0.976851249959026</v>
      </c>
      <c r="F6" s="21" t="n">
        <v>47330.43</v>
      </c>
      <c r="G6" s="21" t="n">
        <v>47874.59291986</v>
      </c>
    </row>
    <row r="7" customFormat="false" ht="15" hidden="false" customHeight="true" outlineLevel="0" collapsed="false">
      <c r="A7" s="17" t="s">
        <v>156</v>
      </c>
      <c r="B7" s="17" t="s">
        <v>154</v>
      </c>
      <c r="C7" s="20" t="n">
        <v>88.9845180057378</v>
      </c>
      <c r="D7" s="20" t="n">
        <v>84.4072500693835</v>
      </c>
      <c r="E7" s="29" t="n">
        <v>-4.57726793635422</v>
      </c>
      <c r="F7" s="21" t="n">
        <v>24127.92</v>
      </c>
      <c r="G7" s="21" t="n">
        <v>25436.18702396</v>
      </c>
    </row>
    <row r="8" customFormat="false" ht="15" hidden="false" customHeight="true" outlineLevel="0" collapsed="false">
      <c r="A8" s="17" t="s">
        <v>157</v>
      </c>
      <c r="B8" s="17" t="s">
        <v>154</v>
      </c>
      <c r="C8" s="20" t="n">
        <v>75.5142052228591</v>
      </c>
      <c r="D8" s="20" t="n">
        <v>81.0731781738406</v>
      </c>
      <c r="E8" s="29" t="n">
        <v>5.55897295098151</v>
      </c>
      <c r="F8" s="21" t="n">
        <v>113233</v>
      </c>
      <c r="G8" s="21" t="n">
        <v>108201.8079127</v>
      </c>
    </row>
    <row r="9" customFormat="false" ht="15" hidden="false" customHeight="true" outlineLevel="0" collapsed="false">
      <c r="A9" s="17" t="s">
        <v>158</v>
      </c>
      <c r="B9" s="17" t="s">
        <v>154</v>
      </c>
      <c r="C9" s="20" t="n">
        <v>88.1472450811067</v>
      </c>
      <c r="D9" s="20" t="n">
        <v>90.3925543016139</v>
      </c>
      <c r="E9" s="18" t="n">
        <v>2.2453092205072</v>
      </c>
      <c r="F9" s="21" t="n">
        <v>29.529</v>
      </c>
      <c r="G9" s="21" t="n">
        <v>45571.42477449</v>
      </c>
    </row>
    <row r="10" customFormat="false" ht="15" hidden="false" customHeight="true" outlineLevel="0" collapsed="false">
      <c r="A10" s="17" t="s">
        <v>159</v>
      </c>
      <c r="B10" s="17" t="s">
        <v>154</v>
      </c>
      <c r="C10" s="20" t="n">
        <v>86.6306699003671</v>
      </c>
      <c r="D10" s="20" t="n">
        <v>86.4670262016852</v>
      </c>
      <c r="E10" s="18" t="n">
        <v>-0.163643698681923</v>
      </c>
      <c r="F10" s="21" t="n">
        <v>12204.8</v>
      </c>
      <c r="G10" s="21" t="n">
        <v>12209.74360296</v>
      </c>
    </row>
    <row r="11" customFormat="false" ht="15" hidden="false" customHeight="true" outlineLevel="0" collapsed="false">
      <c r="A11" s="17" t="s">
        <v>160</v>
      </c>
      <c r="B11" s="17" t="s">
        <v>154</v>
      </c>
      <c r="C11" s="28" t="s">
        <v>79</v>
      </c>
      <c r="D11" s="20" t="n">
        <v>87.631868494034</v>
      </c>
      <c r="E11" s="28" t="s">
        <v>79</v>
      </c>
      <c r="F11" s="28" t="s">
        <v>79</v>
      </c>
      <c r="G11" s="21" t="n">
        <v>31792.28040091</v>
      </c>
    </row>
    <row r="12" customFormat="false" ht="15" hidden="false" customHeight="true" outlineLevel="0" collapsed="false">
      <c r="A12" s="17" t="s">
        <v>161</v>
      </c>
      <c r="B12" s="17" t="s">
        <v>154</v>
      </c>
      <c r="C12" s="20" t="n">
        <v>85.642194450843</v>
      </c>
      <c r="D12" s="20" t="n">
        <v>85.1092970318676</v>
      </c>
      <c r="E12" s="18" t="n">
        <v>-0.532897418975381</v>
      </c>
      <c r="F12" s="21" t="n">
        <v>62557.61</v>
      </c>
      <c r="G12" s="21" t="n">
        <v>62981.82279541</v>
      </c>
    </row>
    <row r="13" customFormat="false" ht="15" hidden="false" customHeight="true" outlineLevel="0" collapsed="false">
      <c r="A13" s="17" t="s">
        <v>162</v>
      </c>
      <c r="B13" s="17" t="s">
        <v>154</v>
      </c>
      <c r="C13" s="20" t="n">
        <v>85.4781264828009</v>
      </c>
      <c r="D13" s="20" t="n">
        <v>83.5001180503806</v>
      </c>
      <c r="E13" s="18" t="n">
        <v>-1.97800843242032</v>
      </c>
      <c r="F13" s="21" t="n">
        <v>62972.04</v>
      </c>
      <c r="G13" s="21" t="n">
        <v>64616.28878809</v>
      </c>
    </row>
    <row r="14" customFormat="false" ht="15" hidden="false" customHeight="true" outlineLevel="0" collapsed="false">
      <c r="A14" s="17" t="s">
        <v>163</v>
      </c>
      <c r="B14" s="17" t="s">
        <v>154</v>
      </c>
      <c r="C14" s="20" t="n">
        <v>87.0343449202752</v>
      </c>
      <c r="D14" s="20" t="n">
        <v>84.9804731946986</v>
      </c>
      <c r="E14" s="18" t="n">
        <v>-2.05387172557666</v>
      </c>
      <c r="F14" s="21" t="n">
        <v>51934.9</v>
      </c>
      <c r="G14" s="21" t="n">
        <v>53154.00651958</v>
      </c>
    </row>
    <row r="15" customFormat="false" ht="15" hidden="false" customHeight="true" outlineLevel="0" collapsed="false">
      <c r="A15" s="30" t="s">
        <v>164</v>
      </c>
      <c r="B15" s="30" t="s">
        <v>154</v>
      </c>
      <c r="C15" s="30" t="s">
        <v>79</v>
      </c>
      <c r="D15" s="31" t="n">
        <v>83.08</v>
      </c>
      <c r="E15" s="30" t="s">
        <v>79</v>
      </c>
      <c r="F15" s="30" t="s">
        <v>79</v>
      </c>
      <c r="G15" s="31" t="n">
        <v>30189.74</v>
      </c>
    </row>
    <row r="16" customFormat="false" ht="27.75" hidden="false" customHeight="true" outlineLevel="0" collapsed="false">
      <c r="A16" s="32" t="s">
        <v>165</v>
      </c>
      <c r="B16" s="1" t="s">
        <v>154</v>
      </c>
    </row>
    <row r="17" customFormat="false" ht="648" hidden="false" customHeight="true" outlineLevel="0" collapsed="false">
      <c r="A17" s="33" t="s">
        <v>166</v>
      </c>
    </row>
    <row r="18" customFormat="false" ht="815.25" hidden="false" customHeight="true" outlineLevel="0" collapsed="false">
      <c r="A18" s="34" t="s">
        <v>167</v>
      </c>
    </row>
    <row r="19" customFormat="false" ht="15" hidden="false" customHeight="true" outlineLevel="0" collapsed="false">
      <c r="A19" s="1" t="s">
        <v>168</v>
      </c>
      <c r="B19" s="1" t="s">
        <v>154</v>
      </c>
      <c r="C19" s="1" t="s">
        <v>79</v>
      </c>
      <c r="D19" s="1" t="n">
        <v>87.2672957676879</v>
      </c>
      <c r="E19" s="1" t="s">
        <v>79</v>
      </c>
      <c r="F19" s="1" t="s">
        <v>79</v>
      </c>
      <c r="G19" s="1" t="n">
        <v>1951.39521524</v>
      </c>
    </row>
    <row r="20" customFormat="false" ht="15" hidden="false" customHeight="true" outlineLevel="0" collapsed="false">
      <c r="A20" s="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44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7" t="s">
        <v>170</v>
      </c>
      <c r="B1" s="27"/>
      <c r="C1" s="27"/>
      <c r="D1" s="27"/>
      <c r="E1" s="27"/>
      <c r="F1" s="27"/>
    </row>
    <row r="2" customFormat="false" ht="15.75" hidden="false" customHeight="true" outlineLevel="0" collapsed="false">
      <c r="A2" s="3" t="s">
        <v>171</v>
      </c>
      <c r="B2" s="3"/>
      <c r="C2" s="3"/>
      <c r="D2" s="3"/>
      <c r="E2" s="3"/>
      <c r="F2" s="3"/>
    </row>
    <row r="4" customFormat="false" ht="25.5" hidden="false" customHeight="true" outlineLevel="0" collapsed="false">
      <c r="A4" s="16" t="s">
        <v>172</v>
      </c>
      <c r="B4" s="16" t="s">
        <v>173</v>
      </c>
      <c r="C4" s="16" t="s">
        <v>174</v>
      </c>
      <c r="D4" s="16" t="s">
        <v>175</v>
      </c>
      <c r="E4" s="16" t="s">
        <v>176</v>
      </c>
      <c r="F4" s="16" t="s">
        <v>177</v>
      </c>
    </row>
    <row r="5" customFormat="false" ht="30" hidden="false" customHeight="true" outlineLevel="0" collapsed="false">
      <c r="A5" s="35" t="s">
        <v>178</v>
      </c>
      <c r="B5" s="36" t="s">
        <v>179</v>
      </c>
      <c r="C5" s="35" t="s">
        <v>180</v>
      </c>
      <c r="D5" s="35" t="s">
        <v>181</v>
      </c>
      <c r="E5" s="35" t="s">
        <v>182</v>
      </c>
      <c r="F5" s="35" t="s">
        <v>154</v>
      </c>
    </row>
    <row r="6" customFormat="false" ht="30" hidden="false" customHeight="true" outlineLevel="0" collapsed="false">
      <c r="A6" s="35" t="s">
        <v>183</v>
      </c>
      <c r="B6" s="37" t="s">
        <v>184</v>
      </c>
      <c r="C6" s="35" t="s">
        <v>185</v>
      </c>
      <c r="D6" s="35" t="s">
        <v>186</v>
      </c>
      <c r="E6" s="35" t="s">
        <v>182</v>
      </c>
      <c r="F6" s="35" t="s">
        <v>187</v>
      </c>
    </row>
    <row r="7" customFormat="false" ht="30" hidden="false" customHeight="true" outlineLevel="0" collapsed="false">
      <c r="A7" s="35" t="s">
        <v>188</v>
      </c>
      <c r="B7" s="37" t="s">
        <v>189</v>
      </c>
      <c r="C7" s="35" t="s">
        <v>190</v>
      </c>
      <c r="D7" s="35" t="s">
        <v>191</v>
      </c>
      <c r="E7" s="35" t="s">
        <v>192</v>
      </c>
      <c r="F7" s="35" t="s">
        <v>193</v>
      </c>
    </row>
    <row r="8" customFormat="false" ht="30" hidden="false" customHeight="true" outlineLevel="0" collapsed="false">
      <c r="A8" s="35" t="s">
        <v>194</v>
      </c>
      <c r="B8" s="38" t="s">
        <v>195</v>
      </c>
      <c r="C8" s="35" t="s">
        <v>196</v>
      </c>
      <c r="D8" s="35" t="s">
        <v>197</v>
      </c>
      <c r="E8" s="35" t="s">
        <v>182</v>
      </c>
      <c r="F8" s="35" t="s">
        <v>198</v>
      </c>
    </row>
    <row r="9" customFormat="false" ht="30" hidden="false" customHeight="true" outlineLevel="0" collapsed="false">
      <c r="A9" s="35" t="s">
        <v>199</v>
      </c>
      <c r="B9" s="37" t="s">
        <v>200</v>
      </c>
      <c r="C9" s="35" t="s">
        <v>201</v>
      </c>
      <c r="D9" s="35" t="s">
        <v>202</v>
      </c>
      <c r="E9" s="35" t="s">
        <v>182</v>
      </c>
      <c r="F9" s="35" t="s">
        <v>203</v>
      </c>
    </row>
    <row r="10" customFormat="false" ht="30" hidden="false" customHeight="true" outlineLevel="0" collapsed="false">
      <c r="A10" s="35" t="s">
        <v>204</v>
      </c>
      <c r="B10" s="37" t="s">
        <v>200</v>
      </c>
      <c r="C10" s="35" t="s">
        <v>205</v>
      </c>
      <c r="D10" s="35" t="s">
        <v>197</v>
      </c>
      <c r="E10" s="35" t="s">
        <v>182</v>
      </c>
      <c r="F10" s="35" t="s">
        <v>206</v>
      </c>
    </row>
    <row r="11" customFormat="false" ht="30" hidden="false" customHeight="true" outlineLevel="0" collapsed="false">
      <c r="A11" s="35" t="s">
        <v>207</v>
      </c>
      <c r="B11" s="38" t="s">
        <v>208</v>
      </c>
      <c r="C11" s="35" t="s">
        <v>209</v>
      </c>
      <c r="D11" s="35" t="s">
        <v>210</v>
      </c>
      <c r="E11" s="35" t="s">
        <v>192</v>
      </c>
      <c r="F11" s="35" t="s">
        <v>211</v>
      </c>
    </row>
    <row r="12" customFormat="false" ht="30" hidden="false" customHeight="true" outlineLevel="0" collapsed="false">
      <c r="A12" s="35" t="s">
        <v>212</v>
      </c>
      <c r="B12" s="38" t="s">
        <v>208</v>
      </c>
      <c r="C12" s="35" t="s">
        <v>213</v>
      </c>
      <c r="D12" s="35" t="s">
        <v>214</v>
      </c>
      <c r="E12" s="35" t="s">
        <v>215</v>
      </c>
      <c r="F12" s="35" t="s">
        <v>216</v>
      </c>
    </row>
    <row r="13" customFormat="false" ht="30" hidden="false" customHeight="true" outlineLevel="0" collapsed="false">
      <c r="A13" s="35" t="s">
        <v>217</v>
      </c>
      <c r="B13" s="38" t="s">
        <v>208</v>
      </c>
      <c r="C13" s="35" t="s">
        <v>218</v>
      </c>
      <c r="D13" s="35" t="s">
        <v>219</v>
      </c>
      <c r="E13" s="35" t="s">
        <v>220</v>
      </c>
      <c r="F13" s="35" t="s">
        <v>221</v>
      </c>
    </row>
    <row r="14" customFormat="false" ht="30" hidden="false" customHeight="true" outlineLevel="0" collapsed="false">
      <c r="A14" s="35" t="s">
        <v>222</v>
      </c>
      <c r="B14" s="38" t="s">
        <v>208</v>
      </c>
      <c r="C14" s="35" t="s">
        <v>223</v>
      </c>
      <c r="D14" s="35" t="s">
        <v>224</v>
      </c>
      <c r="E14" s="35" t="s">
        <v>225</v>
      </c>
      <c r="F14" s="35" t="s">
        <v>226</v>
      </c>
    </row>
    <row r="15" customFormat="false" ht="30" hidden="false" customHeight="true" outlineLevel="0" collapsed="false">
      <c r="A15" s="35" t="s">
        <v>227</v>
      </c>
      <c r="B15" s="36" t="s">
        <v>228</v>
      </c>
      <c r="C15" s="35" t="s">
        <v>229</v>
      </c>
      <c r="D15" s="35" t="s">
        <v>230</v>
      </c>
      <c r="E15" s="35" t="s">
        <v>231</v>
      </c>
      <c r="F15" s="35" t="s">
        <v>154</v>
      </c>
    </row>
    <row r="16" customFormat="false" ht="30" hidden="false" customHeight="true" outlineLevel="0" collapsed="false">
      <c r="A16" s="35" t="s">
        <v>232</v>
      </c>
      <c r="B16" s="36" t="s">
        <v>233</v>
      </c>
      <c r="C16" s="35" t="s">
        <v>234</v>
      </c>
      <c r="D16" s="35" t="s">
        <v>235</v>
      </c>
      <c r="E16" s="35" t="s">
        <v>182</v>
      </c>
      <c r="F16" s="35" t="s">
        <v>236</v>
      </c>
    </row>
    <row r="17" customFormat="false" ht="30" hidden="false" customHeight="true" outlineLevel="0" collapsed="false">
      <c r="A17" s="35" t="s">
        <v>237</v>
      </c>
      <c r="B17" s="36" t="s">
        <v>238</v>
      </c>
      <c r="C17" s="35" t="s">
        <v>239</v>
      </c>
      <c r="D17" s="35" t="s">
        <v>240</v>
      </c>
      <c r="E17" s="35" t="s">
        <v>182</v>
      </c>
      <c r="F17" s="35" t="s">
        <v>154</v>
      </c>
    </row>
    <row r="18" customFormat="false" ht="30" hidden="false" customHeight="true" outlineLevel="0" collapsed="false">
      <c r="A18" s="35" t="s">
        <v>241</v>
      </c>
      <c r="B18" s="39" t="s">
        <v>242</v>
      </c>
      <c r="C18" s="35" t="s">
        <v>243</v>
      </c>
      <c r="D18" s="35" t="s">
        <v>244</v>
      </c>
      <c r="E18" s="35" t="s">
        <v>245</v>
      </c>
      <c r="F18" s="35" t="s">
        <v>246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5" min="4" style="1" width="22"/>
    <col collapsed="false" customWidth="true" hidden="false" outlineLevel="0" max="6" min="6" style="1" width="56"/>
  </cols>
  <sheetData>
    <row r="1" customFormat="false" ht="15.75" hidden="false" customHeight="true" outlineLevel="0" collapsed="false">
      <c r="A1" s="40" t="s">
        <v>247</v>
      </c>
    </row>
    <row r="2" customFormat="false" ht="15" hidden="false" customHeight="true" outlineLevel="0" collapsed="false">
      <c r="A2" s="41" t="s">
        <v>248</v>
      </c>
      <c r="B2" s="41" t="s">
        <v>249</v>
      </c>
      <c r="C2" s="41" t="s">
        <v>250</v>
      </c>
      <c r="D2" s="41" t="s">
        <v>251</v>
      </c>
      <c r="E2" s="41" t="s">
        <v>252</v>
      </c>
      <c r="F2" s="41" t="s">
        <v>253</v>
      </c>
    </row>
    <row r="3" customFormat="false" ht="15" hidden="false" customHeight="true" outlineLevel="0" collapsed="false">
      <c r="A3" s="1" t="s">
        <v>254</v>
      </c>
      <c r="B3" s="1" t="s">
        <v>255</v>
      </c>
      <c r="C3" s="1" t="s">
        <v>256</v>
      </c>
      <c r="D3" s="1" t="s">
        <v>257</v>
      </c>
      <c r="E3" s="1" t="s">
        <v>258</v>
      </c>
      <c r="F3" s="12" t="s">
        <v>259</v>
      </c>
    </row>
    <row r="4" customFormat="false" ht="15" hidden="false" customHeight="true" outlineLevel="0" collapsed="false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2" t="s">
        <v>265</v>
      </c>
    </row>
    <row r="5" customFormat="false" ht="15" hidden="false" customHeight="true" outlineLevel="0" collapsed="false">
      <c r="A5" s="1" t="s">
        <v>266</v>
      </c>
      <c r="B5" s="1" t="s">
        <v>267</v>
      </c>
      <c r="C5" s="1" t="s">
        <v>268</v>
      </c>
      <c r="D5" s="1" t="s">
        <v>269</v>
      </c>
      <c r="E5" s="1" t="s">
        <v>270</v>
      </c>
      <c r="F5" s="12" t="s">
        <v>271</v>
      </c>
    </row>
    <row r="6" customFormat="false" ht="15" hidden="false" customHeight="true" outlineLevel="0" collapsed="false">
      <c r="A6" s="1" t="s">
        <v>272</v>
      </c>
      <c r="B6" s="1" t="s">
        <v>273</v>
      </c>
      <c r="C6" s="1" t="s">
        <v>274</v>
      </c>
      <c r="D6" s="1" t="s">
        <v>275</v>
      </c>
      <c r="E6" s="1" t="s">
        <v>276</v>
      </c>
      <c r="F6" s="12" t="s">
        <v>277</v>
      </c>
    </row>
    <row r="7" customFormat="false" ht="15" hidden="false" customHeight="true" outlineLevel="0" collapsed="false">
      <c r="A7" s="1" t="s">
        <v>278</v>
      </c>
      <c r="B7" s="1" t="s">
        <v>279</v>
      </c>
      <c r="C7" s="1" t="s">
        <v>280</v>
      </c>
      <c r="D7" s="1" t="s">
        <v>281</v>
      </c>
      <c r="E7" s="1" t="s">
        <v>282</v>
      </c>
      <c r="F7" s="12" t="s">
        <v>283</v>
      </c>
    </row>
    <row r="8" customFormat="false" ht="15" hidden="false" customHeight="true" outlineLevel="0" collapsed="false">
      <c r="A8" s="1" t="s">
        <v>284</v>
      </c>
      <c r="B8" s="1" t="s">
        <v>285</v>
      </c>
      <c r="C8" s="1" t="s">
        <v>79</v>
      </c>
      <c r="D8" s="1" t="s">
        <v>79</v>
      </c>
      <c r="E8" s="1" t="s">
        <v>286</v>
      </c>
      <c r="F8" s="12" t="s">
        <v>287</v>
      </c>
    </row>
    <row r="9" customFormat="false" ht="15" hidden="false" customHeight="true" outlineLevel="0" collapsed="false">
      <c r="A9" s="1" t="s">
        <v>288</v>
      </c>
      <c r="B9" s="1" t="s">
        <v>289</v>
      </c>
      <c r="C9" s="1" t="s">
        <v>290</v>
      </c>
      <c r="D9" s="1" t="s">
        <v>291</v>
      </c>
      <c r="E9" s="1" t="s">
        <v>154</v>
      </c>
      <c r="F9" s="12" t="s">
        <v>292</v>
      </c>
    </row>
    <row r="11" customFormat="false" ht="15" hidden="false" customHeight="true" outlineLevel="0" collapsed="false">
      <c r="A11" s="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2026-08-09T01:25:42Z</dcterms:created>
  <dc:creator>Carlos Jose Teixeira</dc:creator>
  <dc:description/>
  <dc:language>en-US</dc:language>
  <cp:lastModifiedBy/>
  <dcterms:modified xsi:type="dcterms:W3CDTF">2026-09-01T03:47:19Z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ActionId">
    <vt:lpwstr>5f057e8d-cc88-4111-93e1-3f2ab5e5b913</vt:lpwstr>
  </property>
  <property fmtid="{D5CDD505-2E9C-101B-9397-08002B2CF9AE}" pid="3" name="MSIP_Label_7dc0926b-a436-4c88-b8c0-5877261a3f6f_ContentBits">
    <vt:lpwstr>0</vt:lpwstr>
  </property>
  <property fmtid="{D5CDD505-2E9C-101B-9397-08002B2CF9AE}" pid="4" name="MSIP_Label_7dc0926b-a436-4c88-b8c0-5877261a3f6f_Enabled">
    <vt:lpwstr>true</vt:lpwstr>
  </property>
  <property fmtid="{D5CDD505-2E9C-101B-9397-08002B2CF9AE}" pid="5" name="MSIP_Label_7dc0926b-a436-4c88-b8c0-5877261a3f6f_Method">
    <vt:lpwstr>Standard</vt:lpwstr>
  </property>
  <property fmtid="{D5CDD505-2E9C-101B-9397-08002B2CF9AE}" pid="6" name="MSIP_Label_7dc0926b-a436-4c88-b8c0-5877261a3f6f_Name">
    <vt:lpwstr>None</vt:lpwstr>
  </property>
  <property fmtid="{D5CDD505-2E9C-101B-9397-08002B2CF9AE}" pid="7" name="MSIP_Label_7dc0926b-a436-4c88-b8c0-5877261a3f6f_SetDate">
    <vt:lpwstr>2026-08-09T01:25:43Z</vt:lpwstr>
  </property>
  <property fmtid="{D5CDD505-2E9C-101B-9397-08002B2CF9AE}" pid="8" name="MSIP_Label_7dc0926b-a436-4c88-b8c0-5877261a3f6f_SiteId">
    <vt:lpwstr>83bd090b-756e-4a02-a512-e5ea02c03041</vt:lpwstr>
  </property>
</Properties>
</file>